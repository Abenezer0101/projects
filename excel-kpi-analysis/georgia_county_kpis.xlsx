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Dashboard" sheetId="1" state="visible" r:id="rId1"/>
    <sheet name="RawData" sheetId="2" state="visible" r:id="rId2"/>
    <sheet name="Clean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F3864"/>
      <sz val="16"/>
    </font>
    <font>
      <i val="1"/>
      <color rgb="00666666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EF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0" fontId="4" fillId="3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3" customWidth="1" min="3" max="3"/>
    <col width="16" customWidth="1" min="4" max="4"/>
    <col width="10" customWidth="1" min="5" max="5"/>
    <col width="14" customWidth="1" min="6" max="6"/>
    <col width="10" customWidth="1" min="7" max="7"/>
  </cols>
  <sheetData>
    <row r="1">
      <c r="A1" s="1" t="inlineStr">
        <is>
          <t>Georgia County KPIs</t>
        </is>
      </c>
    </row>
    <row r="2">
      <c r="A2" s="2" t="inlineStr">
        <is>
          <t>Source: Cleaned sheet · US Census 2020 population</t>
        </is>
      </c>
    </row>
    <row r="4">
      <c r="A4" s="3" t="inlineStr">
        <is>
          <t>KPI</t>
        </is>
      </c>
      <c r="B4" s="3" t="inlineStr">
        <is>
          <t>Value</t>
        </is>
      </c>
      <c r="C4" s="3" t="n"/>
      <c r="D4" s="3" t="inlineStr">
        <is>
          <t>Region</t>
        </is>
      </c>
      <c r="E4" s="3" t="inlineStr">
        <is>
          <t>Counties</t>
        </is>
      </c>
      <c r="F4" s="3" t="inlineStr">
        <is>
          <t>Population</t>
        </is>
      </c>
      <c r="G4" s="3" t="inlineStr">
        <is>
          <t>% of Total</t>
        </is>
      </c>
    </row>
    <row r="5">
      <c r="A5" s="4" t="inlineStr">
        <is>
          <t>Counties analyzed</t>
        </is>
      </c>
      <c r="B5" s="5">
        <f>COUNTA(Cleaned!A2:A21)</f>
        <v/>
      </c>
      <c r="D5" s="4" t="inlineStr">
        <is>
          <t>Central</t>
        </is>
      </c>
      <c r="E5" s="4">
        <f>COUNTIF(Cleaned!B2:B21,D5)</f>
        <v/>
      </c>
      <c r="F5" s="4">
        <f>SUMIF(Cleaned!B2:B21,D5,Cleaned!C2:C21)</f>
        <v/>
      </c>
      <c r="G5" s="6">
        <f>F5/$B$6</f>
        <v/>
      </c>
    </row>
    <row r="6">
      <c r="A6" s="4" t="inlineStr">
        <is>
          <t>Total population</t>
        </is>
      </c>
      <c r="B6" s="5">
        <f>SUM(Cleaned!C2:C21)</f>
        <v/>
      </c>
      <c r="D6" s="4" t="inlineStr">
        <is>
          <t>Coastal</t>
        </is>
      </c>
      <c r="E6" s="4">
        <f>COUNTIF(Cleaned!B2:B21,D6)</f>
        <v/>
      </c>
      <c r="F6" s="4">
        <f>SUMIF(Cleaned!B2:B21,D6,Cleaned!C2:C21)</f>
        <v/>
      </c>
      <c r="G6" s="6">
        <f>F6/$B$6</f>
        <v/>
      </c>
    </row>
    <row r="7">
      <c r="A7" s="4" t="inlineStr">
        <is>
          <t>Average county population</t>
        </is>
      </c>
      <c r="B7" s="5">
        <f>ROUND(AVERAGE(Cleaned!C2:C21),0)</f>
        <v/>
      </c>
      <c r="D7" s="4" t="inlineStr">
        <is>
          <t>East Central</t>
        </is>
      </c>
      <c r="E7" s="4">
        <f>COUNTIF(Cleaned!B2:B21,D7)</f>
        <v/>
      </c>
      <c r="F7" s="4">
        <f>SUMIF(Cleaned!B2:B21,D7,Cleaned!C2:C21)</f>
        <v/>
      </c>
      <c r="G7" s="6">
        <f>F7/$B$6</f>
        <v/>
      </c>
    </row>
    <row r="8">
      <c r="A8" s="4" t="inlineStr">
        <is>
          <t>Largest county population</t>
        </is>
      </c>
      <c r="B8" s="5">
        <f>MAX(Cleaned!C2:C21)</f>
        <v/>
      </c>
      <c r="D8" s="4" t="inlineStr">
        <is>
          <t>Metro Atlanta</t>
        </is>
      </c>
      <c r="E8" s="4">
        <f>COUNTIF(Cleaned!B2:B21,D8)</f>
        <v/>
      </c>
      <c r="F8" s="4">
        <f>SUMIF(Cleaned!B2:B21,D8,Cleaned!C2:C21)</f>
        <v/>
      </c>
      <c r="G8" s="6">
        <f>F8/$B$6</f>
        <v/>
      </c>
    </row>
    <row r="9">
      <c r="A9" s="4" t="inlineStr">
        <is>
          <t>Smallest county population</t>
        </is>
      </c>
      <c r="B9" s="5">
        <f>MIN(Cleaned!C2:C21)</f>
        <v/>
      </c>
      <c r="D9" s="4" t="inlineStr">
        <is>
          <t>North</t>
        </is>
      </c>
      <c r="E9" s="4">
        <f>COUNTIF(Cleaned!B2:B21,D9)</f>
        <v/>
      </c>
      <c r="F9" s="4">
        <f>SUMIF(Cleaned!B2:B21,D9,Cleaned!C2:C21)</f>
        <v/>
      </c>
      <c r="G9" s="6">
        <f>F9/$B$6</f>
        <v/>
      </c>
    </row>
    <row r="10">
      <c r="A10" s="4" t="inlineStr">
        <is>
          <t>Total ZIP codes</t>
        </is>
      </c>
      <c r="B10" s="5">
        <f>SUM(Cleaned!D2:D21)</f>
        <v/>
      </c>
      <c r="D10" s="4" t="inlineStr">
        <is>
          <t>Northeast</t>
        </is>
      </c>
      <c r="E10" s="4">
        <f>COUNTIF(Cleaned!B2:B21,D10)</f>
        <v/>
      </c>
      <c r="F10" s="4">
        <f>SUMIF(Cleaned!B2:B21,D10,Cleaned!C2:C21)</f>
        <v/>
      </c>
      <c r="G10" s="6">
        <f>F10/$B$6</f>
        <v/>
      </c>
    </row>
    <row r="11">
      <c r="A11" s="4" t="inlineStr">
        <is>
          <t>Avg population per ZIP</t>
        </is>
      </c>
      <c r="B11" s="5">
        <f>ROUND(SUM(Cleaned!C2:C21)/SUM(Cleaned!D2:D21),0)</f>
        <v/>
      </c>
      <c r="D11" s="4" t="inlineStr">
        <is>
          <t>Northwest</t>
        </is>
      </c>
      <c r="E11" s="4">
        <f>COUNTIF(Cleaned!B2:B21,D11)</f>
        <v/>
      </c>
      <c r="F11" s="4">
        <f>SUMIF(Cleaned!B2:B21,D11,Cleaned!C2:C21)</f>
        <v/>
      </c>
      <c r="G11" s="6">
        <f>F11/$B$6</f>
        <v/>
      </c>
    </row>
    <row r="12">
      <c r="A12" s="4" t="inlineStr">
        <is>
          <t>Counties over 500K</t>
        </is>
      </c>
      <c r="B12" s="5">
        <f>COUNTIF(Cleaned!C2:C21,"&gt;500000")</f>
        <v/>
      </c>
      <c r="D12" s="4" t="inlineStr">
        <is>
          <t>South</t>
        </is>
      </c>
      <c r="E12" s="4">
        <f>COUNTIF(Cleaned!B2:B21,D12)</f>
        <v/>
      </c>
      <c r="F12" s="4">
        <f>SUMIF(Cleaned!B2:B21,D12,Cleaned!C2:C21)</f>
        <v/>
      </c>
      <c r="G12" s="6">
        <f>F12/$B$6</f>
        <v/>
      </c>
    </row>
    <row r="13">
      <c r="A13" s="4" t="inlineStr">
        <is>
          <t>Metro Atlanta population</t>
        </is>
      </c>
      <c r="B13" s="5">
        <f>SUMIF(Cleaned!B2:B21,"Metro Atlanta",Cleaned!C2:C21)</f>
        <v/>
      </c>
      <c r="D13" s="4" t="inlineStr">
        <is>
          <t>Southwest</t>
        </is>
      </c>
      <c r="E13" s="4">
        <f>COUNTIF(Cleaned!B2:B21,D13)</f>
        <v/>
      </c>
      <c r="F13" s="4">
        <f>SUMIF(Cleaned!B2:B21,D13,Cleaned!C2:C21)</f>
        <v/>
      </c>
      <c r="G13" s="6">
        <f>F13/$B$6</f>
        <v/>
      </c>
    </row>
    <row r="14">
      <c r="D14" s="4" t="inlineStr">
        <is>
          <t>West Central</t>
        </is>
      </c>
      <c r="E14" s="4">
        <f>COUNTIF(Cleaned!B2:B21,D14)</f>
        <v/>
      </c>
      <c r="F14" s="4">
        <f>SUMIF(Cleaned!B2:B21,D14,Cleaned!C2:C21)</f>
        <v/>
      </c>
      <c r="G14" s="6">
        <f>F14/$B$6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County</t>
        </is>
      </c>
      <c r="B1" s="3" t="inlineStr">
        <is>
          <t>Region</t>
        </is>
      </c>
      <c r="C1" s="3" t="inlineStr">
        <is>
          <t>Population</t>
        </is>
      </c>
      <c r="D1" s="3" t="inlineStr">
        <is>
          <t>ZipCodes</t>
        </is>
      </c>
    </row>
    <row r="2">
      <c r="A2" t="inlineStr">
        <is>
          <t xml:space="preserve">  fulton </t>
        </is>
      </c>
      <c r="B2" t="inlineStr">
        <is>
          <t>metro atlanta</t>
        </is>
      </c>
      <c r="C2" t="inlineStr">
        <is>
          <t>1,066,710</t>
        </is>
      </c>
      <c r="D2" t="n">
        <v>80</v>
      </c>
    </row>
    <row r="3">
      <c r="A3" t="inlineStr">
        <is>
          <t>GWINNETT</t>
        </is>
      </c>
      <c r="B3" t="inlineStr">
        <is>
          <t>Metro Atlanta</t>
        </is>
      </c>
      <c r="C3" t="n">
        <v>957062</v>
      </c>
      <c r="D3" t="n">
        <v>40</v>
      </c>
    </row>
    <row r="4">
      <c r="A4" t="inlineStr">
        <is>
          <t>Cobb</t>
        </is>
      </c>
      <c r="B4" t="inlineStr">
        <is>
          <t>Metro Atlanta</t>
        </is>
      </c>
      <c r="C4" t="n">
        <v>766149</v>
      </c>
      <c r="D4" t="n">
        <v>30</v>
      </c>
    </row>
    <row r="5">
      <c r="A5" t="inlineStr">
        <is>
          <t>Cobb</t>
        </is>
      </c>
      <c r="B5" t="inlineStr">
        <is>
          <t>Metro Atlanta</t>
        </is>
      </c>
      <c r="C5" t="n">
        <v>766149</v>
      </c>
      <c r="D5" t="n">
        <v>30</v>
      </c>
    </row>
    <row r="6">
      <c r="A6" t="inlineStr">
        <is>
          <t xml:space="preserve">DeKalb </t>
        </is>
      </c>
      <c r="B6" t="inlineStr">
        <is>
          <t xml:space="preserve">metro atlanta </t>
        </is>
      </c>
      <c r="C6" t="n">
        <v>764382</v>
      </c>
      <c r="D6" t="n">
        <v>35</v>
      </c>
    </row>
    <row r="7">
      <c r="A7" t="inlineStr">
        <is>
          <t>Clayton</t>
        </is>
      </c>
      <c r="B7" t="inlineStr">
        <is>
          <t>Metro Atlanta</t>
        </is>
      </c>
      <c r="C7" t="n">
        <v>297595</v>
      </c>
      <c r="D7" t="n">
        <v>15</v>
      </c>
    </row>
    <row r="8">
      <c r="A8" t="inlineStr">
        <is>
          <t>Chatham</t>
        </is>
      </c>
      <c r="B8" t="inlineStr">
        <is>
          <t>coastal</t>
        </is>
      </c>
      <c r="C8" t="n">
        <v>295291</v>
      </c>
      <c r="D8" t="n">
        <v>20</v>
      </c>
    </row>
    <row r="9">
      <c r="A9" t="inlineStr">
        <is>
          <t>Cherokee</t>
        </is>
      </c>
      <c r="B9" t="inlineStr">
        <is>
          <t>Metro Atlanta</t>
        </is>
      </c>
      <c r="C9" t="n">
        <v>266620</v>
      </c>
    </row>
    <row r="10">
      <c r="A10" t="inlineStr">
        <is>
          <t>Forsyth</t>
        </is>
      </c>
      <c r="B10" t="inlineStr">
        <is>
          <t>Metro Atlanta</t>
        </is>
      </c>
      <c r="C10" t="n">
        <v>251283</v>
      </c>
      <c r="D10" t="n">
        <v>8</v>
      </c>
    </row>
    <row r="11">
      <c r="A11" t="inlineStr">
        <is>
          <t>Henry</t>
        </is>
      </c>
      <c r="B11" t="inlineStr">
        <is>
          <t>Metro Atlanta</t>
        </is>
      </c>
      <c r="C11" t="n">
        <v>240712</v>
      </c>
      <c r="D11" t="n">
        <v>10</v>
      </c>
    </row>
    <row r="12">
      <c r="A12" t="inlineStr">
        <is>
          <t>richmond</t>
        </is>
      </c>
      <c r="B12" t="inlineStr">
        <is>
          <t>East Central</t>
        </is>
      </c>
      <c r="C12" t="n">
        <v>206607</v>
      </c>
      <c r="D12" t="n">
        <v>18</v>
      </c>
    </row>
    <row r="13">
      <c r="A13" t="inlineStr">
        <is>
          <t>Muscogee</t>
        </is>
      </c>
      <c r="B13" t="inlineStr">
        <is>
          <t>West Central</t>
        </is>
      </c>
      <c r="C13" t="n">
        <v>206922</v>
      </c>
      <c r="D13" t="n">
        <v>16</v>
      </c>
    </row>
    <row r="14">
      <c r="A14" t="inlineStr">
        <is>
          <t>Houston</t>
        </is>
      </c>
      <c r="B14" t="inlineStr">
        <is>
          <t>Central</t>
        </is>
      </c>
      <c r="C14" t="n">
        <v>163633</v>
      </c>
      <c r="D14" t="n">
        <v>8</v>
      </c>
    </row>
    <row r="15">
      <c r="A15" t="inlineStr">
        <is>
          <t>Bibb</t>
        </is>
      </c>
      <c r="B15" t="inlineStr">
        <is>
          <t>Central</t>
        </is>
      </c>
      <c r="C15" t="n">
        <v>157346</v>
      </c>
      <c r="D15" t="n">
        <v>14</v>
      </c>
    </row>
    <row r="16">
      <c r="A16" t="inlineStr">
        <is>
          <t>Hall</t>
        </is>
      </c>
      <c r="B16" t="inlineStr">
        <is>
          <t>North</t>
        </is>
      </c>
      <c r="C16" t="n">
        <v>203136</v>
      </c>
      <c r="D16" t="n">
        <v>12</v>
      </c>
    </row>
    <row r="17">
      <c r="A17" t="inlineStr">
        <is>
          <t>Clarke</t>
        </is>
      </c>
      <c r="B17" t="inlineStr">
        <is>
          <t>Northeast</t>
        </is>
      </c>
      <c r="C17" t="n">
        <v>128331</v>
      </c>
      <c r="D17" t="n">
        <v>7</v>
      </c>
    </row>
    <row r="18">
      <c r="A18" t="inlineStr">
        <is>
          <t>Lowndes</t>
        </is>
      </c>
      <c r="B18" t="inlineStr">
        <is>
          <t>South</t>
        </is>
      </c>
      <c r="C18" t="n">
        <v>117406</v>
      </c>
      <c r="D18" t="n">
        <v>9</v>
      </c>
    </row>
    <row r="19">
      <c r="A19" t="inlineStr">
        <is>
          <t>Whitfield</t>
        </is>
      </c>
      <c r="B19" t="inlineStr">
        <is>
          <t>Northwest</t>
        </is>
      </c>
      <c r="C19" t="n">
        <v>102864</v>
      </c>
      <c r="D19" t="n">
        <v>6</v>
      </c>
    </row>
    <row r="20">
      <c r="A20" t="inlineStr">
        <is>
          <t>Floyd</t>
        </is>
      </c>
      <c r="B20" t="inlineStr">
        <is>
          <t>Northwest</t>
        </is>
      </c>
      <c r="C20" t="n">
        <v>98498</v>
      </c>
      <c r="D20" t="n">
        <v>7</v>
      </c>
    </row>
    <row r="21">
      <c r="A21" t="inlineStr">
        <is>
          <t>Dougherty</t>
        </is>
      </c>
      <c r="B21" t="inlineStr">
        <is>
          <t>Southwest</t>
        </is>
      </c>
      <c r="C21" t="n">
        <v>85790</v>
      </c>
      <c r="D21" t="n">
        <v>8</v>
      </c>
    </row>
    <row r="22">
      <c r="A22" t="inlineStr">
        <is>
          <t>Glynn</t>
        </is>
      </c>
      <c r="B22" t="inlineStr">
        <is>
          <t>Coastal</t>
        </is>
      </c>
      <c r="C22" t="n">
        <v>84499</v>
      </c>
      <c r="D22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11" customWidth="1" min="4" max="4"/>
    <col width="12" customWidth="1" min="5" max="5"/>
  </cols>
  <sheetData>
    <row r="1">
      <c r="A1" s="3" t="inlineStr">
        <is>
          <t>County</t>
        </is>
      </c>
      <c r="B1" s="3" t="inlineStr">
        <is>
          <t>Region</t>
        </is>
      </c>
      <c r="C1" s="3" t="inlineStr">
        <is>
          <t>Population</t>
        </is>
      </c>
      <c r="D1" s="3" t="inlineStr">
        <is>
          <t>ZipCodes</t>
        </is>
      </c>
      <c r="E1" s="3" t="inlineStr">
        <is>
          <t>PopPerZip</t>
        </is>
      </c>
    </row>
    <row r="2">
      <c r="A2" t="inlineStr">
        <is>
          <t>Fulton</t>
        </is>
      </c>
      <c r="B2" t="inlineStr">
        <is>
          <t>Metro Atlanta</t>
        </is>
      </c>
      <c r="C2" t="n">
        <v>1066710</v>
      </c>
      <c r="D2" t="n">
        <v>80</v>
      </c>
      <c r="E2">
        <f>C2/D2</f>
        <v/>
      </c>
    </row>
    <row r="3">
      <c r="A3" t="inlineStr">
        <is>
          <t>Gwinnett</t>
        </is>
      </c>
      <c r="B3" t="inlineStr">
        <is>
          <t>Metro Atlanta</t>
        </is>
      </c>
      <c r="C3" t="n">
        <v>957062</v>
      </c>
      <c r="D3" t="n">
        <v>40</v>
      </c>
      <c r="E3">
        <f>C3/D3</f>
        <v/>
      </c>
    </row>
    <row r="4">
      <c r="A4" t="inlineStr">
        <is>
          <t>Cobb</t>
        </is>
      </c>
      <c r="B4" t="inlineStr">
        <is>
          <t>Metro Atlanta</t>
        </is>
      </c>
      <c r="C4" t="n">
        <v>766149</v>
      </c>
      <c r="D4" t="n">
        <v>30</v>
      </c>
      <c r="E4">
        <f>C4/D4</f>
        <v/>
      </c>
    </row>
    <row r="5">
      <c r="A5" t="inlineStr">
        <is>
          <t>DeKalb</t>
        </is>
      </c>
      <c r="B5" t="inlineStr">
        <is>
          <t>Metro Atlanta</t>
        </is>
      </c>
      <c r="C5" t="n">
        <v>764382</v>
      </c>
      <c r="D5" t="n">
        <v>35</v>
      </c>
      <c r="E5">
        <f>C5/D5</f>
        <v/>
      </c>
    </row>
    <row r="6">
      <c r="A6" t="inlineStr">
        <is>
          <t>Clayton</t>
        </is>
      </c>
      <c r="B6" t="inlineStr">
        <is>
          <t>Metro Atlanta</t>
        </is>
      </c>
      <c r="C6" t="n">
        <v>297595</v>
      </c>
      <c r="D6" t="n">
        <v>15</v>
      </c>
      <c r="E6">
        <f>C6/D6</f>
        <v/>
      </c>
    </row>
    <row r="7">
      <c r="A7" t="inlineStr">
        <is>
          <t>Cherokee</t>
        </is>
      </c>
      <c r="B7" t="inlineStr">
        <is>
          <t>Metro Atlanta</t>
        </is>
      </c>
      <c r="C7" t="n">
        <v>266620</v>
      </c>
      <c r="D7" t="n">
        <v>15</v>
      </c>
      <c r="E7">
        <f>C7/D7</f>
        <v/>
      </c>
    </row>
    <row r="8">
      <c r="A8" t="inlineStr">
        <is>
          <t>Forsyth</t>
        </is>
      </c>
      <c r="B8" t="inlineStr">
        <is>
          <t>Metro Atlanta</t>
        </is>
      </c>
      <c r="C8" t="n">
        <v>251283</v>
      </c>
      <c r="D8" t="n">
        <v>8</v>
      </c>
      <c r="E8">
        <f>C8/D8</f>
        <v/>
      </c>
    </row>
    <row r="9">
      <c r="A9" t="inlineStr">
        <is>
          <t>Henry</t>
        </is>
      </c>
      <c r="B9" t="inlineStr">
        <is>
          <t>Metro Atlanta</t>
        </is>
      </c>
      <c r="C9" t="n">
        <v>240712</v>
      </c>
      <c r="D9" t="n">
        <v>10</v>
      </c>
      <c r="E9">
        <f>C9/D9</f>
        <v/>
      </c>
    </row>
    <row r="10">
      <c r="A10" t="inlineStr">
        <is>
          <t>Chatham</t>
        </is>
      </c>
      <c r="B10" t="inlineStr">
        <is>
          <t>Coastal</t>
        </is>
      </c>
      <c r="C10" t="n">
        <v>295291</v>
      </c>
      <c r="D10" t="n">
        <v>20</v>
      </c>
      <c r="E10">
        <f>C10/D10</f>
        <v/>
      </c>
    </row>
    <row r="11">
      <c r="A11" t="inlineStr">
        <is>
          <t>Glynn</t>
        </is>
      </c>
      <c r="B11" t="inlineStr">
        <is>
          <t>Coastal</t>
        </is>
      </c>
      <c r="C11" t="n">
        <v>84499</v>
      </c>
      <c r="D11" t="n">
        <v>7</v>
      </c>
      <c r="E11">
        <f>C11/D11</f>
        <v/>
      </c>
    </row>
    <row r="12">
      <c r="A12" t="inlineStr">
        <is>
          <t>Richmond</t>
        </is>
      </c>
      <c r="B12" t="inlineStr">
        <is>
          <t>East Central</t>
        </is>
      </c>
      <c r="C12" t="n">
        <v>206607</v>
      </c>
      <c r="D12" t="n">
        <v>18</v>
      </c>
      <c r="E12">
        <f>C12/D12</f>
        <v/>
      </c>
    </row>
    <row r="13">
      <c r="A13" t="inlineStr">
        <is>
          <t>Muscogee</t>
        </is>
      </c>
      <c r="B13" t="inlineStr">
        <is>
          <t>West Central</t>
        </is>
      </c>
      <c r="C13" t="n">
        <v>206922</v>
      </c>
      <c r="D13" t="n">
        <v>16</v>
      </c>
      <c r="E13">
        <f>C13/D13</f>
        <v/>
      </c>
    </row>
    <row r="14">
      <c r="A14" t="inlineStr">
        <is>
          <t>Bibb</t>
        </is>
      </c>
      <c r="B14" t="inlineStr">
        <is>
          <t>Central</t>
        </is>
      </c>
      <c r="C14" t="n">
        <v>157346</v>
      </c>
      <c r="D14" t="n">
        <v>14</v>
      </c>
      <c r="E14">
        <f>C14/D14</f>
        <v/>
      </c>
    </row>
    <row r="15">
      <c r="A15" t="inlineStr">
        <is>
          <t>Houston</t>
        </is>
      </c>
      <c r="B15" t="inlineStr">
        <is>
          <t>Central</t>
        </is>
      </c>
      <c r="C15" t="n">
        <v>163633</v>
      </c>
      <c r="D15" t="n">
        <v>8</v>
      </c>
      <c r="E15">
        <f>C15/D15</f>
        <v/>
      </c>
    </row>
    <row r="16">
      <c r="A16" t="inlineStr">
        <is>
          <t>Hall</t>
        </is>
      </c>
      <c r="B16" t="inlineStr">
        <is>
          <t>North</t>
        </is>
      </c>
      <c r="C16" t="n">
        <v>203136</v>
      </c>
      <c r="D16" t="n">
        <v>12</v>
      </c>
      <c r="E16">
        <f>C16/D16</f>
        <v/>
      </c>
    </row>
    <row r="17">
      <c r="A17" t="inlineStr">
        <is>
          <t>Clarke</t>
        </is>
      </c>
      <c r="B17" t="inlineStr">
        <is>
          <t>Northeast</t>
        </is>
      </c>
      <c r="C17" t="n">
        <v>128331</v>
      </c>
      <c r="D17" t="n">
        <v>7</v>
      </c>
      <c r="E17">
        <f>C17/D17</f>
        <v/>
      </c>
    </row>
    <row r="18">
      <c r="A18" t="inlineStr">
        <is>
          <t>Whitfield</t>
        </is>
      </c>
      <c r="B18" t="inlineStr">
        <is>
          <t>Northwest</t>
        </is>
      </c>
      <c r="C18" t="n">
        <v>102864</v>
      </c>
      <c r="D18" t="n">
        <v>6</v>
      </c>
      <c r="E18">
        <f>C18/D18</f>
        <v/>
      </c>
    </row>
    <row r="19">
      <c r="A19" t="inlineStr">
        <is>
          <t>Floyd</t>
        </is>
      </c>
      <c r="B19" t="inlineStr">
        <is>
          <t>Northwest</t>
        </is>
      </c>
      <c r="C19" t="n">
        <v>98498</v>
      </c>
      <c r="D19" t="n">
        <v>7</v>
      </c>
      <c r="E19">
        <f>C19/D19</f>
        <v/>
      </c>
    </row>
    <row r="20">
      <c r="A20" t="inlineStr">
        <is>
          <t>Lowndes</t>
        </is>
      </c>
      <c r="B20" t="inlineStr">
        <is>
          <t>South</t>
        </is>
      </c>
      <c r="C20" t="n">
        <v>117406</v>
      </c>
      <c r="D20" t="n">
        <v>9</v>
      </c>
      <c r="E20">
        <f>C20/D20</f>
        <v/>
      </c>
    </row>
    <row r="21">
      <c r="A21" t="inlineStr">
        <is>
          <t>Dougherty</t>
        </is>
      </c>
      <c r="B21" t="inlineStr">
        <is>
          <t>Southwest</t>
        </is>
      </c>
      <c r="C21" t="n">
        <v>85790</v>
      </c>
      <c r="D21" t="n">
        <v>8</v>
      </c>
      <c r="E21">
        <f>C21/D21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2026-09-06T00:04:21Z</dcterms:created>
  <dcterms:modified xsi:type="dcterms:W3CDTF">2026-09-06T00:04:21Z</dcterms:modified>
</cp:coreProperties>
</file>