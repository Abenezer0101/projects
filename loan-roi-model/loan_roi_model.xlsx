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Summary" sheetId="2" state="visible" r:id="rId2"/>
    <sheet name="Amortization" sheetId="3" state="visible" r:id="rId3"/>
    <sheet name="With Extra Payment" sheetId="4" state="visible" r:id="rId4"/>
    <sheet name="Rate Sensitiv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&quot;$&quot;#,##0.00"/>
    <numFmt numFmtId="166" formatCode="0.0"/>
  </numFmts>
  <fonts count="7">
    <font>
      <name val="Calibri"/>
      <family val="2"/>
      <color theme="1"/>
      <sz val="11"/>
      <scheme val="minor"/>
    </font>
    <font>
      <b val="1"/>
      <color rgb="001F3864"/>
      <sz val="15"/>
    </font>
    <font>
      <i val="1"/>
      <color rgb="00666666"/>
    </font>
    <font>
      <b val="1"/>
      <color rgb="00FFFFFF"/>
    </font>
    <font>
      <b val="1"/>
    </font>
    <font>
      <b val="1"/>
      <color rgb="001F3864"/>
      <sz val="13"/>
    </font>
    <font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7EEF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0" borderId="1" pivotButton="0" quotePrefix="0" xfId="0"/>
    <xf numFmtId="164" fontId="4" fillId="3" borderId="1" pivotButton="0" quotePrefix="0" xfId="0"/>
    <xf numFmtId="10" fontId="4" fillId="3" borderId="1" pivotButton="0" quotePrefix="0" xfId="0"/>
    <xf numFmtId="1" fontId="4" fillId="3" borderId="1" pivotButton="0" quotePrefix="0" xfId="0"/>
    <xf numFmtId="0" fontId="4" fillId="0" borderId="0" pivotButton="0" quotePrefix="0" xfId="0"/>
    <xf numFmtId="10" fontId="4" fillId="4" borderId="1" pivotButton="0" quotePrefix="0" xfId="0"/>
    <xf numFmtId="1" fontId="4" fillId="4" borderId="1" pivotButton="0" quotePrefix="0" xfId="0"/>
    <xf numFmtId="165" fontId="4" fillId="4" borderId="1" pivotButton="0" quotePrefix="0" xfId="0"/>
    <xf numFmtId="166" fontId="4" fillId="4" borderId="1" pivotButton="0" quotePrefix="0" xfId="0"/>
    <xf numFmtId="0" fontId="6" fillId="0" borderId="0" applyAlignment="1" pivotButton="0" quotePrefix="0" xfId="0">
      <alignment wrapText="1"/>
    </xf>
    <xf numFmtId="0" fontId="5" fillId="0" borderId="0" pivotButton="0" quotePrefix="0" xfId="0"/>
    <xf numFmtId="165" fontId="0" fillId="0" borderId="0" pivotButton="0" quotePrefix="0" xfId="0"/>
    <xf numFmtId="10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Loan &amp; Investment Assumptions</t>
        </is>
      </c>
    </row>
    <row r="2">
      <c r="A2" s="2" t="inlineStr">
        <is>
          <t>Yellow cells are inputs — change them and every sheet recalculates.</t>
        </is>
      </c>
    </row>
    <row r="4">
      <c r="A4" s="3" t="inlineStr">
        <is>
          <t>Input</t>
        </is>
      </c>
      <c r="B4" s="3" t="inlineStr">
        <is>
          <t>Value</t>
        </is>
      </c>
    </row>
    <row r="5">
      <c r="A5" s="4" t="inlineStr">
        <is>
          <t>Loan principal</t>
        </is>
      </c>
      <c r="B5" s="5" t="n">
        <v>320000</v>
      </c>
    </row>
    <row r="6">
      <c r="A6" s="4" t="inlineStr">
        <is>
          <t>Annual interest rate</t>
        </is>
      </c>
      <c r="B6" s="6" t="n">
        <v>0.065</v>
      </c>
    </row>
    <row r="7">
      <c r="A7" s="4" t="inlineStr">
        <is>
          <t>Term (years)</t>
        </is>
      </c>
      <c r="B7" s="7" t="n">
        <v>30</v>
      </c>
    </row>
    <row r="8">
      <c r="A8" s="4" t="inlineStr">
        <is>
          <t>Extra principal / month</t>
        </is>
      </c>
      <c r="B8" s="5" t="n">
        <v>200</v>
      </c>
    </row>
    <row r="9">
      <c r="A9" s="4" t="inlineStr">
        <is>
          <t>Investment return (annual)</t>
        </is>
      </c>
      <c r="B9" s="6" t="n">
        <v>0.07000000000000001</v>
      </c>
    </row>
    <row r="11">
      <c r="A11" s="8" t="inlineStr">
        <is>
          <t>Derived</t>
        </is>
      </c>
    </row>
    <row r="12">
      <c r="A12" s="4" t="inlineStr">
        <is>
          <t>Monthly rate</t>
        </is>
      </c>
      <c r="B12" s="9">
        <f>Assumptions!$B$6/12</f>
        <v/>
      </c>
    </row>
    <row r="13">
      <c r="A13" s="4" t="inlineStr">
        <is>
          <t>Number of payments</t>
        </is>
      </c>
      <c r="B13" s="10">
        <f>Assumptions!$B$7*12</f>
        <v/>
      </c>
    </row>
    <row r="14">
      <c r="A14" s="4" t="inlineStr">
        <is>
          <t>Monthly payment</t>
        </is>
      </c>
      <c r="B14" s="11">
        <f>-PMT(Assumptions!$B$6/12,Assumptions!$B$7*12,Assumptions!$B$5)</f>
        <v/>
      </c>
    </row>
    <row r="15">
      <c r="A15" s="4" t="inlineStr">
        <is>
          <t>Payment + extra</t>
        </is>
      </c>
      <c r="B15" s="11">
        <f>B13+Assumptions!$B$8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7" customWidth="1" min="3" max="3"/>
  </cols>
  <sheetData>
    <row r="1">
      <c r="A1" s="1" t="inlineStr">
        <is>
          <t>Results</t>
        </is>
      </c>
    </row>
    <row r="2">
      <c r="A2" s="2" t="inlineStr">
        <is>
          <t>Every figure below is a formula over the two schedules.</t>
        </is>
      </c>
    </row>
    <row r="4">
      <c r="A4" s="3" t="inlineStr">
        <is>
          <t>Metric</t>
        </is>
      </c>
      <c r="B4" s="3" t="inlineStr">
        <is>
          <t>Standard</t>
        </is>
      </c>
      <c r="C4" s="3" t="inlineStr">
        <is>
          <t>With extra</t>
        </is>
      </c>
    </row>
    <row r="5">
      <c r="A5" s="4" t="inlineStr">
        <is>
          <t>Monthly payment</t>
        </is>
      </c>
      <c r="B5" s="11">
        <f>Assumptions!$B$13</f>
        <v/>
      </c>
      <c r="C5" s="11">
        <f>Assumptions!$B$14</f>
        <v/>
      </c>
    </row>
    <row r="6">
      <c r="A6" s="4" t="inlineStr">
        <is>
          <t>Months to payoff</t>
        </is>
      </c>
      <c r="B6" s="10">
        <f>COUNTIF(Amortization!C4:C363,"&gt;0")</f>
        <v/>
      </c>
      <c r="C6" s="10">
        <f>COUNTIF('With Extra Payment'!C4:C363,"&gt;0")</f>
        <v/>
      </c>
    </row>
    <row r="7">
      <c r="A7" s="4" t="inlineStr">
        <is>
          <t>Years to payoff</t>
        </is>
      </c>
      <c r="B7" s="12">
        <f>B6/12</f>
        <v/>
      </c>
      <c r="C7" s="12">
        <f>C6/12</f>
        <v/>
      </c>
    </row>
    <row r="8">
      <c r="A8" s="4" t="inlineStr">
        <is>
          <t>Total interest</t>
        </is>
      </c>
      <c r="B8" s="11">
        <f>SUM(Amortization!D4:D363)</f>
        <v/>
      </c>
      <c r="C8" s="11">
        <f>SUM('With Extra Payment'!D4:D363)</f>
        <v/>
      </c>
    </row>
    <row r="9">
      <c r="A9" s="4" t="inlineStr">
        <is>
          <t>Total paid</t>
        </is>
      </c>
      <c r="B9" s="11">
        <f>Assumptions!$B$5+B8</f>
        <v/>
      </c>
      <c r="C9" s="11">
        <f>Assumptions!$B$5+C8</f>
        <v/>
      </c>
    </row>
    <row r="11">
      <c r="A11" s="8" t="inlineStr">
        <is>
          <t>Effect of the extra payment</t>
        </is>
      </c>
    </row>
    <row r="12">
      <c r="A12" s="4" t="inlineStr">
        <is>
          <t>Interest saved</t>
        </is>
      </c>
      <c r="B12" s="11">
        <f>B8-C8</f>
        <v/>
      </c>
    </row>
    <row r="13">
      <c r="A13" s="4" t="inlineStr">
        <is>
          <t>Months saved</t>
        </is>
      </c>
      <c r="B13" s="10">
        <f>B6-C6</f>
        <v/>
      </c>
    </row>
    <row r="14">
      <c r="A14" s="4" t="inlineStr">
        <is>
          <t>Years saved</t>
        </is>
      </c>
      <c r="B14" s="12">
        <f>(B6-C6)/12</f>
        <v/>
      </c>
    </row>
    <row r="16">
      <c r="A16" s="8" t="inlineStr">
        <is>
          <t>Prepay vs. invest — equal monthly outflow, valued at month 360</t>
        </is>
      </c>
    </row>
    <row r="17" ht="30" customHeight="1">
      <c r="A17" s="13" t="inlineStr">
        <is>
          <t>Both paths spend the same amount every month. Invest: pay the scheduled payment for all 360 months and invest the extra. Prepay: pay extra until the loan ends, then invest the whole freed-up payment.</t>
        </is>
      </c>
    </row>
    <row r="19">
      <c r="A19" s="4" t="inlineStr">
        <is>
          <t>Invest the extra for 360 months</t>
        </is>
      </c>
      <c r="B19" s="11">
        <f>FV(Assumptions!$B$9/12,Assumptions!$B$7*12,-Assumptions!$B$8,0)</f>
        <v/>
      </c>
    </row>
    <row r="20">
      <c r="A20" s="4" t="inlineStr">
        <is>
          <t>Prepay, then invest the payment</t>
        </is>
      </c>
      <c r="B20" s="11">
        <f>FV(Assumptions!$B$9/12,B13,-Assumptions!$B$14,0)</f>
        <v/>
      </c>
    </row>
    <row r="21">
      <c r="A21" s="4" t="inlineStr">
        <is>
          <t>Advantage of investing</t>
        </is>
      </c>
      <c r="B21" s="11">
        <f>B19-B20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3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14" customWidth="1" min="3" max="3"/>
    <col width="13" customWidth="1" min="4" max="4"/>
    <col width="13" customWidth="1" min="5" max="5"/>
    <col width="17" customWidth="1" min="6" max="6"/>
    <col width="18" customWidth="1" min="7" max="7"/>
  </cols>
  <sheetData>
    <row r="1">
      <c r="A1" s="14" t="inlineStr">
        <is>
          <t>Standard schedule — scheduled payment only</t>
        </is>
      </c>
    </row>
    <row r="3">
      <c r="A3" s="3" t="inlineStr">
        <is>
          <t>Month</t>
        </is>
      </c>
      <c r="B3" s="3" t="inlineStr">
        <is>
          <t>Opening balance</t>
        </is>
      </c>
      <c r="C3" s="3" t="inlineStr">
        <is>
          <t>Payment</t>
        </is>
      </c>
      <c r="D3" s="3" t="inlineStr">
        <is>
          <t>Interest</t>
        </is>
      </c>
      <c r="E3" s="3" t="inlineStr">
        <is>
          <t>Principal</t>
        </is>
      </c>
      <c r="F3" s="3" t="inlineStr">
        <is>
          <t>Closing balance</t>
        </is>
      </c>
      <c r="G3" s="3" t="inlineStr">
        <is>
          <t>Cumulative interest</t>
        </is>
      </c>
    </row>
    <row r="4">
      <c r="A4" t="n">
        <v>1</v>
      </c>
      <c r="B4" s="15">
        <f>IF(Assumptions!$B$5&lt;=0,0,Assumptions!$B$5)</f>
        <v/>
      </c>
      <c r="C4" s="15">
        <f>IF(B4&lt;=0,0,MIN(Assumptions!$B$13,B4+D4))</f>
        <v/>
      </c>
      <c r="D4" s="15">
        <f>IF(B4&lt;=0,0,B4*Assumptions!$B$6/12)</f>
        <v/>
      </c>
      <c r="E4" s="15">
        <f>IF(B4&lt;=0,0,C4-D4)</f>
        <v/>
      </c>
      <c r="F4" s="15">
        <f>IF(B4&lt;=0,0,B4-E4)</f>
        <v/>
      </c>
      <c r="G4" s="15">
        <f>IF(B4&lt;=0,G3,D4)</f>
        <v/>
      </c>
    </row>
    <row r="5">
      <c r="A5" t="n">
        <v>2</v>
      </c>
      <c r="B5" s="15">
        <f>IF(F4&lt;=0,0,F4)</f>
        <v/>
      </c>
      <c r="C5" s="15">
        <f>IF(B5&lt;=0,0,MIN(Assumptions!$B$13,B5+D5))</f>
        <v/>
      </c>
      <c r="D5" s="15">
        <f>IF(B5&lt;=0,0,B5*Assumptions!$B$6/12)</f>
        <v/>
      </c>
      <c r="E5" s="15">
        <f>IF(B5&lt;=0,0,C5-D5)</f>
        <v/>
      </c>
      <c r="F5" s="15">
        <f>IF(B5&lt;=0,0,B5-E5)</f>
        <v/>
      </c>
      <c r="G5" s="15">
        <f>IF(B5&lt;=0,G4,G4+D5)</f>
        <v/>
      </c>
    </row>
    <row r="6">
      <c r="A6" t="n">
        <v>3</v>
      </c>
      <c r="B6" s="15">
        <f>IF(F5&lt;=0,0,F5)</f>
        <v/>
      </c>
      <c r="C6" s="15">
        <f>IF(B6&lt;=0,0,MIN(Assumptions!$B$13,B6+D6))</f>
        <v/>
      </c>
      <c r="D6" s="15">
        <f>IF(B6&lt;=0,0,B6*Assumptions!$B$6/12)</f>
        <v/>
      </c>
      <c r="E6" s="15">
        <f>IF(B6&lt;=0,0,C6-D6)</f>
        <v/>
      </c>
      <c r="F6" s="15">
        <f>IF(B6&lt;=0,0,B6-E6)</f>
        <v/>
      </c>
      <c r="G6" s="15">
        <f>IF(B6&lt;=0,G5,G5+D6)</f>
        <v/>
      </c>
    </row>
    <row r="7">
      <c r="A7" t="n">
        <v>4</v>
      </c>
      <c r="B7" s="15">
        <f>IF(F6&lt;=0,0,F6)</f>
        <v/>
      </c>
      <c r="C7" s="15">
        <f>IF(B7&lt;=0,0,MIN(Assumptions!$B$13,B7+D7))</f>
        <v/>
      </c>
      <c r="D7" s="15">
        <f>IF(B7&lt;=0,0,B7*Assumptions!$B$6/12)</f>
        <v/>
      </c>
      <c r="E7" s="15">
        <f>IF(B7&lt;=0,0,C7-D7)</f>
        <v/>
      </c>
      <c r="F7" s="15">
        <f>IF(B7&lt;=0,0,B7-E7)</f>
        <v/>
      </c>
      <c r="G7" s="15">
        <f>IF(B7&lt;=0,G6,G6+D7)</f>
        <v/>
      </c>
    </row>
    <row r="8">
      <c r="A8" t="n">
        <v>5</v>
      </c>
      <c r="B8" s="15">
        <f>IF(F7&lt;=0,0,F7)</f>
        <v/>
      </c>
      <c r="C8" s="15">
        <f>IF(B8&lt;=0,0,MIN(Assumptions!$B$13,B8+D8))</f>
        <v/>
      </c>
      <c r="D8" s="15">
        <f>IF(B8&lt;=0,0,B8*Assumptions!$B$6/12)</f>
        <v/>
      </c>
      <c r="E8" s="15">
        <f>IF(B8&lt;=0,0,C8-D8)</f>
        <v/>
      </c>
      <c r="F8" s="15">
        <f>IF(B8&lt;=0,0,B8-E8)</f>
        <v/>
      </c>
      <c r="G8" s="15">
        <f>IF(B8&lt;=0,G7,G7+D8)</f>
        <v/>
      </c>
    </row>
    <row r="9">
      <c r="A9" t="n">
        <v>6</v>
      </c>
      <c r="B9" s="15">
        <f>IF(F8&lt;=0,0,F8)</f>
        <v/>
      </c>
      <c r="C9" s="15">
        <f>IF(B9&lt;=0,0,MIN(Assumptions!$B$13,B9+D9))</f>
        <v/>
      </c>
      <c r="D9" s="15">
        <f>IF(B9&lt;=0,0,B9*Assumptions!$B$6/12)</f>
        <v/>
      </c>
      <c r="E9" s="15">
        <f>IF(B9&lt;=0,0,C9-D9)</f>
        <v/>
      </c>
      <c r="F9" s="15">
        <f>IF(B9&lt;=0,0,B9-E9)</f>
        <v/>
      </c>
      <c r="G9" s="15">
        <f>IF(B9&lt;=0,G8,G8+D9)</f>
        <v/>
      </c>
    </row>
    <row r="10">
      <c r="A10" t="n">
        <v>7</v>
      </c>
      <c r="B10" s="15">
        <f>IF(F9&lt;=0,0,F9)</f>
        <v/>
      </c>
      <c r="C10" s="15">
        <f>IF(B10&lt;=0,0,MIN(Assumptions!$B$13,B10+D10))</f>
        <v/>
      </c>
      <c r="D10" s="15">
        <f>IF(B10&lt;=0,0,B10*Assumptions!$B$6/12)</f>
        <v/>
      </c>
      <c r="E10" s="15">
        <f>IF(B10&lt;=0,0,C10-D10)</f>
        <v/>
      </c>
      <c r="F10" s="15">
        <f>IF(B10&lt;=0,0,B10-E10)</f>
        <v/>
      </c>
      <c r="G10" s="15">
        <f>IF(B10&lt;=0,G9,G9+D10)</f>
        <v/>
      </c>
    </row>
    <row r="11">
      <c r="A11" t="n">
        <v>8</v>
      </c>
      <c r="B11" s="15">
        <f>IF(F10&lt;=0,0,F10)</f>
        <v/>
      </c>
      <c r="C11" s="15">
        <f>IF(B11&lt;=0,0,MIN(Assumptions!$B$13,B11+D11))</f>
        <v/>
      </c>
      <c r="D11" s="15">
        <f>IF(B11&lt;=0,0,B11*Assumptions!$B$6/12)</f>
        <v/>
      </c>
      <c r="E11" s="15">
        <f>IF(B11&lt;=0,0,C11-D11)</f>
        <v/>
      </c>
      <c r="F11" s="15">
        <f>IF(B11&lt;=0,0,B11-E11)</f>
        <v/>
      </c>
      <c r="G11" s="15">
        <f>IF(B11&lt;=0,G10,G10+D11)</f>
        <v/>
      </c>
    </row>
    <row r="12">
      <c r="A12" t="n">
        <v>9</v>
      </c>
      <c r="B12" s="15">
        <f>IF(F11&lt;=0,0,F11)</f>
        <v/>
      </c>
      <c r="C12" s="15">
        <f>IF(B12&lt;=0,0,MIN(Assumptions!$B$13,B12+D12))</f>
        <v/>
      </c>
      <c r="D12" s="15">
        <f>IF(B12&lt;=0,0,B12*Assumptions!$B$6/12)</f>
        <v/>
      </c>
      <c r="E12" s="15">
        <f>IF(B12&lt;=0,0,C12-D12)</f>
        <v/>
      </c>
      <c r="F12" s="15">
        <f>IF(B12&lt;=0,0,B12-E12)</f>
        <v/>
      </c>
      <c r="G12" s="15">
        <f>IF(B12&lt;=0,G11,G11+D12)</f>
        <v/>
      </c>
    </row>
    <row r="13">
      <c r="A13" t="n">
        <v>10</v>
      </c>
      <c r="B13" s="15">
        <f>IF(F12&lt;=0,0,F12)</f>
        <v/>
      </c>
      <c r="C13" s="15">
        <f>IF(B13&lt;=0,0,MIN(Assumptions!$B$13,B13+D13))</f>
        <v/>
      </c>
      <c r="D13" s="15">
        <f>IF(B13&lt;=0,0,B13*Assumptions!$B$6/12)</f>
        <v/>
      </c>
      <c r="E13" s="15">
        <f>IF(B13&lt;=0,0,C13-D13)</f>
        <v/>
      </c>
      <c r="F13" s="15">
        <f>IF(B13&lt;=0,0,B13-E13)</f>
        <v/>
      </c>
      <c r="G13" s="15">
        <f>IF(B13&lt;=0,G12,G12+D13)</f>
        <v/>
      </c>
    </row>
    <row r="14">
      <c r="A14" t="n">
        <v>11</v>
      </c>
      <c r="B14" s="15">
        <f>IF(F13&lt;=0,0,F13)</f>
        <v/>
      </c>
      <c r="C14" s="15">
        <f>IF(B14&lt;=0,0,MIN(Assumptions!$B$13,B14+D14))</f>
        <v/>
      </c>
      <c r="D14" s="15">
        <f>IF(B14&lt;=0,0,B14*Assumptions!$B$6/12)</f>
        <v/>
      </c>
      <c r="E14" s="15">
        <f>IF(B14&lt;=0,0,C14-D14)</f>
        <v/>
      </c>
      <c r="F14" s="15">
        <f>IF(B14&lt;=0,0,B14-E14)</f>
        <v/>
      </c>
      <c r="G14" s="15">
        <f>IF(B14&lt;=0,G13,G13+D14)</f>
        <v/>
      </c>
    </row>
    <row r="15">
      <c r="A15" t="n">
        <v>12</v>
      </c>
      <c r="B15" s="15">
        <f>IF(F14&lt;=0,0,F14)</f>
        <v/>
      </c>
      <c r="C15" s="15">
        <f>IF(B15&lt;=0,0,MIN(Assumptions!$B$13,B15+D15))</f>
        <v/>
      </c>
      <c r="D15" s="15">
        <f>IF(B15&lt;=0,0,B15*Assumptions!$B$6/12)</f>
        <v/>
      </c>
      <c r="E15" s="15">
        <f>IF(B15&lt;=0,0,C15-D15)</f>
        <v/>
      </c>
      <c r="F15" s="15">
        <f>IF(B15&lt;=0,0,B15-E15)</f>
        <v/>
      </c>
      <c r="G15" s="15">
        <f>IF(B15&lt;=0,G14,G14+D15)</f>
        <v/>
      </c>
    </row>
    <row r="16">
      <c r="A16" t="n">
        <v>13</v>
      </c>
      <c r="B16" s="15">
        <f>IF(F15&lt;=0,0,F15)</f>
        <v/>
      </c>
      <c r="C16" s="15">
        <f>IF(B16&lt;=0,0,MIN(Assumptions!$B$13,B16+D16))</f>
        <v/>
      </c>
      <c r="D16" s="15">
        <f>IF(B16&lt;=0,0,B16*Assumptions!$B$6/12)</f>
        <v/>
      </c>
      <c r="E16" s="15">
        <f>IF(B16&lt;=0,0,C16-D16)</f>
        <v/>
      </c>
      <c r="F16" s="15">
        <f>IF(B16&lt;=0,0,B16-E16)</f>
        <v/>
      </c>
      <c r="G16" s="15">
        <f>IF(B16&lt;=0,G15,G15+D16)</f>
        <v/>
      </c>
    </row>
    <row r="17">
      <c r="A17" t="n">
        <v>14</v>
      </c>
      <c r="B17" s="15">
        <f>IF(F16&lt;=0,0,F16)</f>
        <v/>
      </c>
      <c r="C17" s="15">
        <f>IF(B17&lt;=0,0,MIN(Assumptions!$B$13,B17+D17))</f>
        <v/>
      </c>
      <c r="D17" s="15">
        <f>IF(B17&lt;=0,0,B17*Assumptions!$B$6/12)</f>
        <v/>
      </c>
      <c r="E17" s="15">
        <f>IF(B17&lt;=0,0,C17-D17)</f>
        <v/>
      </c>
      <c r="F17" s="15">
        <f>IF(B17&lt;=0,0,B17-E17)</f>
        <v/>
      </c>
      <c r="G17" s="15">
        <f>IF(B17&lt;=0,G16,G16+D17)</f>
        <v/>
      </c>
    </row>
    <row r="18">
      <c r="A18" t="n">
        <v>15</v>
      </c>
      <c r="B18" s="15">
        <f>IF(F17&lt;=0,0,F17)</f>
        <v/>
      </c>
      <c r="C18" s="15">
        <f>IF(B18&lt;=0,0,MIN(Assumptions!$B$13,B18+D18))</f>
        <v/>
      </c>
      <c r="D18" s="15">
        <f>IF(B18&lt;=0,0,B18*Assumptions!$B$6/12)</f>
        <v/>
      </c>
      <c r="E18" s="15">
        <f>IF(B18&lt;=0,0,C18-D18)</f>
        <v/>
      </c>
      <c r="F18" s="15">
        <f>IF(B18&lt;=0,0,B18-E18)</f>
        <v/>
      </c>
      <c r="G18" s="15">
        <f>IF(B18&lt;=0,G17,G17+D18)</f>
        <v/>
      </c>
    </row>
    <row r="19">
      <c r="A19" t="n">
        <v>16</v>
      </c>
      <c r="B19" s="15">
        <f>IF(F18&lt;=0,0,F18)</f>
        <v/>
      </c>
      <c r="C19" s="15">
        <f>IF(B19&lt;=0,0,MIN(Assumptions!$B$13,B19+D19))</f>
        <v/>
      </c>
      <c r="D19" s="15">
        <f>IF(B19&lt;=0,0,B19*Assumptions!$B$6/12)</f>
        <v/>
      </c>
      <c r="E19" s="15">
        <f>IF(B19&lt;=0,0,C19-D19)</f>
        <v/>
      </c>
      <c r="F19" s="15">
        <f>IF(B19&lt;=0,0,B19-E19)</f>
        <v/>
      </c>
      <c r="G19" s="15">
        <f>IF(B19&lt;=0,G18,G18+D19)</f>
        <v/>
      </c>
    </row>
    <row r="20">
      <c r="A20" t="n">
        <v>17</v>
      </c>
      <c r="B20" s="15">
        <f>IF(F19&lt;=0,0,F19)</f>
        <v/>
      </c>
      <c r="C20" s="15">
        <f>IF(B20&lt;=0,0,MIN(Assumptions!$B$13,B20+D20))</f>
        <v/>
      </c>
      <c r="D20" s="15">
        <f>IF(B20&lt;=0,0,B20*Assumptions!$B$6/12)</f>
        <v/>
      </c>
      <c r="E20" s="15">
        <f>IF(B20&lt;=0,0,C20-D20)</f>
        <v/>
      </c>
      <c r="F20" s="15">
        <f>IF(B20&lt;=0,0,B20-E20)</f>
        <v/>
      </c>
      <c r="G20" s="15">
        <f>IF(B20&lt;=0,G19,G19+D20)</f>
        <v/>
      </c>
    </row>
    <row r="21">
      <c r="A21" t="n">
        <v>18</v>
      </c>
      <c r="B21" s="15">
        <f>IF(F20&lt;=0,0,F20)</f>
        <v/>
      </c>
      <c r="C21" s="15">
        <f>IF(B21&lt;=0,0,MIN(Assumptions!$B$13,B21+D21))</f>
        <v/>
      </c>
      <c r="D21" s="15">
        <f>IF(B21&lt;=0,0,B21*Assumptions!$B$6/12)</f>
        <v/>
      </c>
      <c r="E21" s="15">
        <f>IF(B21&lt;=0,0,C21-D21)</f>
        <v/>
      </c>
      <c r="F21" s="15">
        <f>IF(B21&lt;=0,0,B21-E21)</f>
        <v/>
      </c>
      <c r="G21" s="15">
        <f>IF(B21&lt;=0,G20,G20+D21)</f>
        <v/>
      </c>
    </row>
    <row r="22">
      <c r="A22" t="n">
        <v>19</v>
      </c>
      <c r="B22" s="15">
        <f>IF(F21&lt;=0,0,F21)</f>
        <v/>
      </c>
      <c r="C22" s="15">
        <f>IF(B22&lt;=0,0,MIN(Assumptions!$B$13,B22+D22))</f>
        <v/>
      </c>
      <c r="D22" s="15">
        <f>IF(B22&lt;=0,0,B22*Assumptions!$B$6/12)</f>
        <v/>
      </c>
      <c r="E22" s="15">
        <f>IF(B22&lt;=0,0,C22-D22)</f>
        <v/>
      </c>
      <c r="F22" s="15">
        <f>IF(B22&lt;=0,0,B22-E22)</f>
        <v/>
      </c>
      <c r="G22" s="15">
        <f>IF(B22&lt;=0,G21,G21+D22)</f>
        <v/>
      </c>
    </row>
    <row r="23">
      <c r="A23" t="n">
        <v>20</v>
      </c>
      <c r="B23" s="15">
        <f>IF(F22&lt;=0,0,F22)</f>
        <v/>
      </c>
      <c r="C23" s="15">
        <f>IF(B23&lt;=0,0,MIN(Assumptions!$B$13,B23+D23))</f>
        <v/>
      </c>
      <c r="D23" s="15">
        <f>IF(B23&lt;=0,0,B23*Assumptions!$B$6/12)</f>
        <v/>
      </c>
      <c r="E23" s="15">
        <f>IF(B23&lt;=0,0,C23-D23)</f>
        <v/>
      </c>
      <c r="F23" s="15">
        <f>IF(B23&lt;=0,0,B23-E23)</f>
        <v/>
      </c>
      <c r="G23" s="15">
        <f>IF(B23&lt;=0,G22,G22+D23)</f>
        <v/>
      </c>
    </row>
    <row r="24">
      <c r="A24" t="n">
        <v>21</v>
      </c>
      <c r="B24" s="15">
        <f>IF(F23&lt;=0,0,F23)</f>
        <v/>
      </c>
      <c r="C24" s="15">
        <f>IF(B24&lt;=0,0,MIN(Assumptions!$B$13,B24+D24))</f>
        <v/>
      </c>
      <c r="D24" s="15">
        <f>IF(B24&lt;=0,0,B24*Assumptions!$B$6/12)</f>
        <v/>
      </c>
      <c r="E24" s="15">
        <f>IF(B24&lt;=0,0,C24-D24)</f>
        <v/>
      </c>
      <c r="F24" s="15">
        <f>IF(B24&lt;=0,0,B24-E24)</f>
        <v/>
      </c>
      <c r="G24" s="15">
        <f>IF(B24&lt;=0,G23,G23+D24)</f>
        <v/>
      </c>
    </row>
    <row r="25">
      <c r="A25" t="n">
        <v>22</v>
      </c>
      <c r="B25" s="15">
        <f>IF(F24&lt;=0,0,F24)</f>
        <v/>
      </c>
      <c r="C25" s="15">
        <f>IF(B25&lt;=0,0,MIN(Assumptions!$B$13,B25+D25))</f>
        <v/>
      </c>
      <c r="D25" s="15">
        <f>IF(B25&lt;=0,0,B25*Assumptions!$B$6/12)</f>
        <v/>
      </c>
      <c r="E25" s="15">
        <f>IF(B25&lt;=0,0,C25-D25)</f>
        <v/>
      </c>
      <c r="F25" s="15">
        <f>IF(B25&lt;=0,0,B25-E25)</f>
        <v/>
      </c>
      <c r="G25" s="15">
        <f>IF(B25&lt;=0,G24,G24+D25)</f>
        <v/>
      </c>
    </row>
    <row r="26">
      <c r="A26" t="n">
        <v>23</v>
      </c>
      <c r="B26" s="15">
        <f>IF(F25&lt;=0,0,F25)</f>
        <v/>
      </c>
      <c r="C26" s="15">
        <f>IF(B26&lt;=0,0,MIN(Assumptions!$B$13,B26+D26))</f>
        <v/>
      </c>
      <c r="D26" s="15">
        <f>IF(B26&lt;=0,0,B26*Assumptions!$B$6/12)</f>
        <v/>
      </c>
      <c r="E26" s="15">
        <f>IF(B26&lt;=0,0,C26-D26)</f>
        <v/>
      </c>
      <c r="F26" s="15">
        <f>IF(B26&lt;=0,0,B26-E26)</f>
        <v/>
      </c>
      <c r="G26" s="15">
        <f>IF(B26&lt;=0,G25,G25+D26)</f>
        <v/>
      </c>
    </row>
    <row r="27">
      <c r="A27" t="n">
        <v>24</v>
      </c>
      <c r="B27" s="15">
        <f>IF(F26&lt;=0,0,F26)</f>
        <v/>
      </c>
      <c r="C27" s="15">
        <f>IF(B27&lt;=0,0,MIN(Assumptions!$B$13,B27+D27))</f>
        <v/>
      </c>
      <c r="D27" s="15">
        <f>IF(B27&lt;=0,0,B27*Assumptions!$B$6/12)</f>
        <v/>
      </c>
      <c r="E27" s="15">
        <f>IF(B27&lt;=0,0,C27-D27)</f>
        <v/>
      </c>
      <c r="F27" s="15">
        <f>IF(B27&lt;=0,0,B27-E27)</f>
        <v/>
      </c>
      <c r="G27" s="15">
        <f>IF(B27&lt;=0,G26,G26+D27)</f>
        <v/>
      </c>
    </row>
    <row r="28">
      <c r="A28" t="n">
        <v>25</v>
      </c>
      <c r="B28" s="15">
        <f>IF(F27&lt;=0,0,F27)</f>
        <v/>
      </c>
      <c r="C28" s="15">
        <f>IF(B28&lt;=0,0,MIN(Assumptions!$B$13,B28+D28))</f>
        <v/>
      </c>
      <c r="D28" s="15">
        <f>IF(B28&lt;=0,0,B28*Assumptions!$B$6/12)</f>
        <v/>
      </c>
      <c r="E28" s="15">
        <f>IF(B28&lt;=0,0,C28-D28)</f>
        <v/>
      </c>
      <c r="F28" s="15">
        <f>IF(B28&lt;=0,0,B28-E28)</f>
        <v/>
      </c>
      <c r="G28" s="15">
        <f>IF(B28&lt;=0,G27,G27+D28)</f>
        <v/>
      </c>
    </row>
    <row r="29">
      <c r="A29" t="n">
        <v>26</v>
      </c>
      <c r="B29" s="15">
        <f>IF(F28&lt;=0,0,F28)</f>
        <v/>
      </c>
      <c r="C29" s="15">
        <f>IF(B29&lt;=0,0,MIN(Assumptions!$B$13,B29+D29))</f>
        <v/>
      </c>
      <c r="D29" s="15">
        <f>IF(B29&lt;=0,0,B29*Assumptions!$B$6/12)</f>
        <v/>
      </c>
      <c r="E29" s="15">
        <f>IF(B29&lt;=0,0,C29-D29)</f>
        <v/>
      </c>
      <c r="F29" s="15">
        <f>IF(B29&lt;=0,0,B29-E29)</f>
        <v/>
      </c>
      <c r="G29" s="15">
        <f>IF(B29&lt;=0,G28,G28+D29)</f>
        <v/>
      </c>
    </row>
    <row r="30">
      <c r="A30" t="n">
        <v>27</v>
      </c>
      <c r="B30" s="15">
        <f>IF(F29&lt;=0,0,F29)</f>
        <v/>
      </c>
      <c r="C30" s="15">
        <f>IF(B30&lt;=0,0,MIN(Assumptions!$B$13,B30+D30))</f>
        <v/>
      </c>
      <c r="D30" s="15">
        <f>IF(B30&lt;=0,0,B30*Assumptions!$B$6/12)</f>
        <v/>
      </c>
      <c r="E30" s="15">
        <f>IF(B30&lt;=0,0,C30-D30)</f>
        <v/>
      </c>
      <c r="F30" s="15">
        <f>IF(B30&lt;=0,0,B30-E30)</f>
        <v/>
      </c>
      <c r="G30" s="15">
        <f>IF(B30&lt;=0,G29,G29+D30)</f>
        <v/>
      </c>
    </row>
    <row r="31">
      <c r="A31" t="n">
        <v>28</v>
      </c>
      <c r="B31" s="15">
        <f>IF(F30&lt;=0,0,F30)</f>
        <v/>
      </c>
      <c r="C31" s="15">
        <f>IF(B31&lt;=0,0,MIN(Assumptions!$B$13,B31+D31))</f>
        <v/>
      </c>
      <c r="D31" s="15">
        <f>IF(B31&lt;=0,0,B31*Assumptions!$B$6/12)</f>
        <v/>
      </c>
      <c r="E31" s="15">
        <f>IF(B31&lt;=0,0,C31-D31)</f>
        <v/>
      </c>
      <c r="F31" s="15">
        <f>IF(B31&lt;=0,0,B31-E31)</f>
        <v/>
      </c>
      <c r="G31" s="15">
        <f>IF(B31&lt;=0,G30,G30+D31)</f>
        <v/>
      </c>
    </row>
    <row r="32">
      <c r="A32" t="n">
        <v>29</v>
      </c>
      <c r="B32" s="15">
        <f>IF(F31&lt;=0,0,F31)</f>
        <v/>
      </c>
      <c r="C32" s="15">
        <f>IF(B32&lt;=0,0,MIN(Assumptions!$B$13,B32+D32))</f>
        <v/>
      </c>
      <c r="D32" s="15">
        <f>IF(B32&lt;=0,0,B32*Assumptions!$B$6/12)</f>
        <v/>
      </c>
      <c r="E32" s="15">
        <f>IF(B32&lt;=0,0,C32-D32)</f>
        <v/>
      </c>
      <c r="F32" s="15">
        <f>IF(B32&lt;=0,0,B32-E32)</f>
        <v/>
      </c>
      <c r="G32" s="15">
        <f>IF(B32&lt;=0,G31,G31+D32)</f>
        <v/>
      </c>
    </row>
    <row r="33">
      <c r="A33" t="n">
        <v>30</v>
      </c>
      <c r="B33" s="15">
        <f>IF(F32&lt;=0,0,F32)</f>
        <v/>
      </c>
      <c r="C33" s="15">
        <f>IF(B33&lt;=0,0,MIN(Assumptions!$B$13,B33+D33))</f>
        <v/>
      </c>
      <c r="D33" s="15">
        <f>IF(B33&lt;=0,0,B33*Assumptions!$B$6/12)</f>
        <v/>
      </c>
      <c r="E33" s="15">
        <f>IF(B33&lt;=0,0,C33-D33)</f>
        <v/>
      </c>
      <c r="F33" s="15">
        <f>IF(B33&lt;=0,0,B33-E33)</f>
        <v/>
      </c>
      <c r="G33" s="15">
        <f>IF(B33&lt;=0,G32,G32+D33)</f>
        <v/>
      </c>
    </row>
    <row r="34">
      <c r="A34" t="n">
        <v>31</v>
      </c>
      <c r="B34" s="15">
        <f>IF(F33&lt;=0,0,F33)</f>
        <v/>
      </c>
      <c r="C34" s="15">
        <f>IF(B34&lt;=0,0,MIN(Assumptions!$B$13,B34+D34))</f>
        <v/>
      </c>
      <c r="D34" s="15">
        <f>IF(B34&lt;=0,0,B34*Assumptions!$B$6/12)</f>
        <v/>
      </c>
      <c r="E34" s="15">
        <f>IF(B34&lt;=0,0,C34-D34)</f>
        <v/>
      </c>
      <c r="F34" s="15">
        <f>IF(B34&lt;=0,0,B34-E34)</f>
        <v/>
      </c>
      <c r="G34" s="15">
        <f>IF(B34&lt;=0,G33,G33+D34)</f>
        <v/>
      </c>
    </row>
    <row r="35">
      <c r="A35" t="n">
        <v>32</v>
      </c>
      <c r="B35" s="15">
        <f>IF(F34&lt;=0,0,F34)</f>
        <v/>
      </c>
      <c r="C35" s="15">
        <f>IF(B35&lt;=0,0,MIN(Assumptions!$B$13,B35+D35))</f>
        <v/>
      </c>
      <c r="D35" s="15">
        <f>IF(B35&lt;=0,0,B35*Assumptions!$B$6/12)</f>
        <v/>
      </c>
      <c r="E35" s="15">
        <f>IF(B35&lt;=0,0,C35-D35)</f>
        <v/>
      </c>
      <c r="F35" s="15">
        <f>IF(B35&lt;=0,0,B35-E35)</f>
        <v/>
      </c>
      <c r="G35" s="15">
        <f>IF(B35&lt;=0,G34,G34+D35)</f>
        <v/>
      </c>
    </row>
    <row r="36">
      <c r="A36" t="n">
        <v>33</v>
      </c>
      <c r="B36" s="15">
        <f>IF(F35&lt;=0,0,F35)</f>
        <v/>
      </c>
      <c r="C36" s="15">
        <f>IF(B36&lt;=0,0,MIN(Assumptions!$B$13,B36+D36))</f>
        <v/>
      </c>
      <c r="D36" s="15">
        <f>IF(B36&lt;=0,0,B36*Assumptions!$B$6/12)</f>
        <v/>
      </c>
      <c r="E36" s="15">
        <f>IF(B36&lt;=0,0,C36-D36)</f>
        <v/>
      </c>
      <c r="F36" s="15">
        <f>IF(B36&lt;=0,0,B36-E36)</f>
        <v/>
      </c>
      <c r="G36" s="15">
        <f>IF(B36&lt;=0,G35,G35+D36)</f>
        <v/>
      </c>
    </row>
    <row r="37">
      <c r="A37" t="n">
        <v>34</v>
      </c>
      <c r="B37" s="15">
        <f>IF(F36&lt;=0,0,F36)</f>
        <v/>
      </c>
      <c r="C37" s="15">
        <f>IF(B37&lt;=0,0,MIN(Assumptions!$B$13,B37+D37))</f>
        <v/>
      </c>
      <c r="D37" s="15">
        <f>IF(B37&lt;=0,0,B37*Assumptions!$B$6/12)</f>
        <v/>
      </c>
      <c r="E37" s="15">
        <f>IF(B37&lt;=0,0,C37-D37)</f>
        <v/>
      </c>
      <c r="F37" s="15">
        <f>IF(B37&lt;=0,0,B37-E37)</f>
        <v/>
      </c>
      <c r="G37" s="15">
        <f>IF(B37&lt;=0,G36,G36+D37)</f>
        <v/>
      </c>
    </row>
    <row r="38">
      <c r="A38" t="n">
        <v>35</v>
      </c>
      <c r="B38" s="15">
        <f>IF(F37&lt;=0,0,F37)</f>
        <v/>
      </c>
      <c r="C38" s="15">
        <f>IF(B38&lt;=0,0,MIN(Assumptions!$B$13,B38+D38))</f>
        <v/>
      </c>
      <c r="D38" s="15">
        <f>IF(B38&lt;=0,0,B38*Assumptions!$B$6/12)</f>
        <v/>
      </c>
      <c r="E38" s="15">
        <f>IF(B38&lt;=0,0,C38-D38)</f>
        <v/>
      </c>
      <c r="F38" s="15">
        <f>IF(B38&lt;=0,0,B38-E38)</f>
        <v/>
      </c>
      <c r="G38" s="15">
        <f>IF(B38&lt;=0,G37,G37+D38)</f>
        <v/>
      </c>
    </row>
    <row r="39">
      <c r="A39" t="n">
        <v>36</v>
      </c>
      <c r="B39" s="15">
        <f>IF(F38&lt;=0,0,F38)</f>
        <v/>
      </c>
      <c r="C39" s="15">
        <f>IF(B39&lt;=0,0,MIN(Assumptions!$B$13,B39+D39))</f>
        <v/>
      </c>
      <c r="D39" s="15">
        <f>IF(B39&lt;=0,0,B39*Assumptions!$B$6/12)</f>
        <v/>
      </c>
      <c r="E39" s="15">
        <f>IF(B39&lt;=0,0,C39-D39)</f>
        <v/>
      </c>
      <c r="F39" s="15">
        <f>IF(B39&lt;=0,0,B39-E39)</f>
        <v/>
      </c>
      <c r="G39" s="15">
        <f>IF(B39&lt;=0,G38,G38+D39)</f>
        <v/>
      </c>
    </row>
    <row r="40">
      <c r="A40" t="n">
        <v>37</v>
      </c>
      <c r="B40" s="15">
        <f>IF(F39&lt;=0,0,F39)</f>
        <v/>
      </c>
      <c r="C40" s="15">
        <f>IF(B40&lt;=0,0,MIN(Assumptions!$B$13,B40+D40))</f>
        <v/>
      </c>
      <c r="D40" s="15">
        <f>IF(B40&lt;=0,0,B40*Assumptions!$B$6/12)</f>
        <v/>
      </c>
      <c r="E40" s="15">
        <f>IF(B40&lt;=0,0,C40-D40)</f>
        <v/>
      </c>
      <c r="F40" s="15">
        <f>IF(B40&lt;=0,0,B40-E40)</f>
        <v/>
      </c>
      <c r="G40" s="15">
        <f>IF(B40&lt;=0,G39,G39+D40)</f>
        <v/>
      </c>
    </row>
    <row r="41">
      <c r="A41" t="n">
        <v>38</v>
      </c>
      <c r="B41" s="15">
        <f>IF(F40&lt;=0,0,F40)</f>
        <v/>
      </c>
      <c r="C41" s="15">
        <f>IF(B41&lt;=0,0,MIN(Assumptions!$B$13,B41+D41))</f>
        <v/>
      </c>
      <c r="D41" s="15">
        <f>IF(B41&lt;=0,0,B41*Assumptions!$B$6/12)</f>
        <v/>
      </c>
      <c r="E41" s="15">
        <f>IF(B41&lt;=0,0,C41-D41)</f>
        <v/>
      </c>
      <c r="F41" s="15">
        <f>IF(B41&lt;=0,0,B41-E41)</f>
        <v/>
      </c>
      <c r="G41" s="15">
        <f>IF(B41&lt;=0,G40,G40+D41)</f>
        <v/>
      </c>
    </row>
    <row r="42">
      <c r="A42" t="n">
        <v>39</v>
      </c>
      <c r="B42" s="15">
        <f>IF(F41&lt;=0,0,F41)</f>
        <v/>
      </c>
      <c r="C42" s="15">
        <f>IF(B42&lt;=0,0,MIN(Assumptions!$B$13,B42+D42))</f>
        <v/>
      </c>
      <c r="D42" s="15">
        <f>IF(B42&lt;=0,0,B42*Assumptions!$B$6/12)</f>
        <v/>
      </c>
      <c r="E42" s="15">
        <f>IF(B42&lt;=0,0,C42-D42)</f>
        <v/>
      </c>
      <c r="F42" s="15">
        <f>IF(B42&lt;=0,0,B42-E42)</f>
        <v/>
      </c>
      <c r="G42" s="15">
        <f>IF(B42&lt;=0,G41,G41+D42)</f>
        <v/>
      </c>
    </row>
    <row r="43">
      <c r="A43" t="n">
        <v>40</v>
      </c>
      <c r="B43" s="15">
        <f>IF(F42&lt;=0,0,F42)</f>
        <v/>
      </c>
      <c r="C43" s="15">
        <f>IF(B43&lt;=0,0,MIN(Assumptions!$B$13,B43+D43))</f>
        <v/>
      </c>
      <c r="D43" s="15">
        <f>IF(B43&lt;=0,0,B43*Assumptions!$B$6/12)</f>
        <v/>
      </c>
      <c r="E43" s="15">
        <f>IF(B43&lt;=0,0,C43-D43)</f>
        <v/>
      </c>
      <c r="F43" s="15">
        <f>IF(B43&lt;=0,0,B43-E43)</f>
        <v/>
      </c>
      <c r="G43" s="15">
        <f>IF(B43&lt;=0,G42,G42+D43)</f>
        <v/>
      </c>
    </row>
    <row r="44">
      <c r="A44" t="n">
        <v>41</v>
      </c>
      <c r="B44" s="15">
        <f>IF(F43&lt;=0,0,F43)</f>
        <v/>
      </c>
      <c r="C44" s="15">
        <f>IF(B44&lt;=0,0,MIN(Assumptions!$B$13,B44+D44))</f>
        <v/>
      </c>
      <c r="D44" s="15">
        <f>IF(B44&lt;=0,0,B44*Assumptions!$B$6/12)</f>
        <v/>
      </c>
      <c r="E44" s="15">
        <f>IF(B44&lt;=0,0,C44-D44)</f>
        <v/>
      </c>
      <c r="F44" s="15">
        <f>IF(B44&lt;=0,0,B44-E44)</f>
        <v/>
      </c>
      <c r="G44" s="15">
        <f>IF(B44&lt;=0,G43,G43+D44)</f>
        <v/>
      </c>
    </row>
    <row r="45">
      <c r="A45" t="n">
        <v>42</v>
      </c>
      <c r="B45" s="15">
        <f>IF(F44&lt;=0,0,F44)</f>
        <v/>
      </c>
      <c r="C45" s="15">
        <f>IF(B45&lt;=0,0,MIN(Assumptions!$B$13,B45+D45))</f>
        <v/>
      </c>
      <c r="D45" s="15">
        <f>IF(B45&lt;=0,0,B45*Assumptions!$B$6/12)</f>
        <v/>
      </c>
      <c r="E45" s="15">
        <f>IF(B45&lt;=0,0,C45-D45)</f>
        <v/>
      </c>
      <c r="F45" s="15">
        <f>IF(B45&lt;=0,0,B45-E45)</f>
        <v/>
      </c>
      <c r="G45" s="15">
        <f>IF(B45&lt;=0,G44,G44+D45)</f>
        <v/>
      </c>
    </row>
    <row r="46">
      <c r="A46" t="n">
        <v>43</v>
      </c>
      <c r="B46" s="15">
        <f>IF(F45&lt;=0,0,F45)</f>
        <v/>
      </c>
      <c r="C46" s="15">
        <f>IF(B46&lt;=0,0,MIN(Assumptions!$B$13,B46+D46))</f>
        <v/>
      </c>
      <c r="D46" s="15">
        <f>IF(B46&lt;=0,0,B46*Assumptions!$B$6/12)</f>
        <v/>
      </c>
      <c r="E46" s="15">
        <f>IF(B46&lt;=0,0,C46-D46)</f>
        <v/>
      </c>
      <c r="F46" s="15">
        <f>IF(B46&lt;=0,0,B46-E46)</f>
        <v/>
      </c>
      <c r="G46" s="15">
        <f>IF(B46&lt;=0,G45,G45+D46)</f>
        <v/>
      </c>
    </row>
    <row r="47">
      <c r="A47" t="n">
        <v>44</v>
      </c>
      <c r="B47" s="15">
        <f>IF(F46&lt;=0,0,F46)</f>
        <v/>
      </c>
      <c r="C47" s="15">
        <f>IF(B47&lt;=0,0,MIN(Assumptions!$B$13,B47+D47))</f>
        <v/>
      </c>
      <c r="D47" s="15">
        <f>IF(B47&lt;=0,0,B47*Assumptions!$B$6/12)</f>
        <v/>
      </c>
      <c r="E47" s="15">
        <f>IF(B47&lt;=0,0,C47-D47)</f>
        <v/>
      </c>
      <c r="F47" s="15">
        <f>IF(B47&lt;=0,0,B47-E47)</f>
        <v/>
      </c>
      <c r="G47" s="15">
        <f>IF(B47&lt;=0,G46,G46+D47)</f>
        <v/>
      </c>
    </row>
    <row r="48">
      <c r="A48" t="n">
        <v>45</v>
      </c>
      <c r="B48" s="15">
        <f>IF(F47&lt;=0,0,F47)</f>
        <v/>
      </c>
      <c r="C48" s="15">
        <f>IF(B48&lt;=0,0,MIN(Assumptions!$B$13,B48+D48))</f>
        <v/>
      </c>
      <c r="D48" s="15">
        <f>IF(B48&lt;=0,0,B48*Assumptions!$B$6/12)</f>
        <v/>
      </c>
      <c r="E48" s="15">
        <f>IF(B48&lt;=0,0,C48-D48)</f>
        <v/>
      </c>
      <c r="F48" s="15">
        <f>IF(B48&lt;=0,0,B48-E48)</f>
        <v/>
      </c>
      <c r="G48" s="15">
        <f>IF(B48&lt;=0,G47,G47+D48)</f>
        <v/>
      </c>
    </row>
    <row r="49">
      <c r="A49" t="n">
        <v>46</v>
      </c>
      <c r="B49" s="15">
        <f>IF(F48&lt;=0,0,F48)</f>
        <v/>
      </c>
      <c r="C49" s="15">
        <f>IF(B49&lt;=0,0,MIN(Assumptions!$B$13,B49+D49))</f>
        <v/>
      </c>
      <c r="D49" s="15">
        <f>IF(B49&lt;=0,0,B49*Assumptions!$B$6/12)</f>
        <v/>
      </c>
      <c r="E49" s="15">
        <f>IF(B49&lt;=0,0,C49-D49)</f>
        <v/>
      </c>
      <c r="F49" s="15">
        <f>IF(B49&lt;=0,0,B49-E49)</f>
        <v/>
      </c>
      <c r="G49" s="15">
        <f>IF(B49&lt;=0,G48,G48+D49)</f>
        <v/>
      </c>
    </row>
    <row r="50">
      <c r="A50" t="n">
        <v>47</v>
      </c>
      <c r="B50" s="15">
        <f>IF(F49&lt;=0,0,F49)</f>
        <v/>
      </c>
      <c r="C50" s="15">
        <f>IF(B50&lt;=0,0,MIN(Assumptions!$B$13,B50+D50))</f>
        <v/>
      </c>
      <c r="D50" s="15">
        <f>IF(B50&lt;=0,0,B50*Assumptions!$B$6/12)</f>
        <v/>
      </c>
      <c r="E50" s="15">
        <f>IF(B50&lt;=0,0,C50-D50)</f>
        <v/>
      </c>
      <c r="F50" s="15">
        <f>IF(B50&lt;=0,0,B50-E50)</f>
        <v/>
      </c>
      <c r="G50" s="15">
        <f>IF(B50&lt;=0,G49,G49+D50)</f>
        <v/>
      </c>
    </row>
    <row r="51">
      <c r="A51" t="n">
        <v>48</v>
      </c>
      <c r="B51" s="15">
        <f>IF(F50&lt;=0,0,F50)</f>
        <v/>
      </c>
      <c r="C51" s="15">
        <f>IF(B51&lt;=0,0,MIN(Assumptions!$B$13,B51+D51))</f>
        <v/>
      </c>
      <c r="D51" s="15">
        <f>IF(B51&lt;=0,0,B51*Assumptions!$B$6/12)</f>
        <v/>
      </c>
      <c r="E51" s="15">
        <f>IF(B51&lt;=0,0,C51-D51)</f>
        <v/>
      </c>
      <c r="F51" s="15">
        <f>IF(B51&lt;=0,0,B51-E51)</f>
        <v/>
      </c>
      <c r="G51" s="15">
        <f>IF(B51&lt;=0,G50,G50+D51)</f>
        <v/>
      </c>
    </row>
    <row r="52">
      <c r="A52" t="n">
        <v>49</v>
      </c>
      <c r="B52" s="15">
        <f>IF(F51&lt;=0,0,F51)</f>
        <v/>
      </c>
      <c r="C52" s="15">
        <f>IF(B52&lt;=0,0,MIN(Assumptions!$B$13,B52+D52))</f>
        <v/>
      </c>
      <c r="D52" s="15">
        <f>IF(B52&lt;=0,0,B52*Assumptions!$B$6/12)</f>
        <v/>
      </c>
      <c r="E52" s="15">
        <f>IF(B52&lt;=0,0,C52-D52)</f>
        <v/>
      </c>
      <c r="F52" s="15">
        <f>IF(B52&lt;=0,0,B52-E52)</f>
        <v/>
      </c>
      <c r="G52" s="15">
        <f>IF(B52&lt;=0,G51,G51+D52)</f>
        <v/>
      </c>
    </row>
    <row r="53">
      <c r="A53" t="n">
        <v>50</v>
      </c>
      <c r="B53" s="15">
        <f>IF(F52&lt;=0,0,F52)</f>
        <v/>
      </c>
      <c r="C53" s="15">
        <f>IF(B53&lt;=0,0,MIN(Assumptions!$B$13,B53+D53))</f>
        <v/>
      </c>
      <c r="D53" s="15">
        <f>IF(B53&lt;=0,0,B53*Assumptions!$B$6/12)</f>
        <v/>
      </c>
      <c r="E53" s="15">
        <f>IF(B53&lt;=0,0,C53-D53)</f>
        <v/>
      </c>
      <c r="F53" s="15">
        <f>IF(B53&lt;=0,0,B53-E53)</f>
        <v/>
      </c>
      <c r="G53" s="15">
        <f>IF(B53&lt;=0,G52,G52+D53)</f>
        <v/>
      </c>
    </row>
    <row r="54">
      <c r="A54" t="n">
        <v>51</v>
      </c>
      <c r="B54" s="15">
        <f>IF(F53&lt;=0,0,F53)</f>
        <v/>
      </c>
      <c r="C54" s="15">
        <f>IF(B54&lt;=0,0,MIN(Assumptions!$B$13,B54+D54))</f>
        <v/>
      </c>
      <c r="D54" s="15">
        <f>IF(B54&lt;=0,0,B54*Assumptions!$B$6/12)</f>
        <v/>
      </c>
      <c r="E54" s="15">
        <f>IF(B54&lt;=0,0,C54-D54)</f>
        <v/>
      </c>
      <c r="F54" s="15">
        <f>IF(B54&lt;=0,0,B54-E54)</f>
        <v/>
      </c>
      <c r="G54" s="15">
        <f>IF(B54&lt;=0,G53,G53+D54)</f>
        <v/>
      </c>
    </row>
    <row r="55">
      <c r="A55" t="n">
        <v>52</v>
      </c>
      <c r="B55" s="15">
        <f>IF(F54&lt;=0,0,F54)</f>
        <v/>
      </c>
      <c r="C55" s="15">
        <f>IF(B55&lt;=0,0,MIN(Assumptions!$B$13,B55+D55))</f>
        <v/>
      </c>
      <c r="D55" s="15">
        <f>IF(B55&lt;=0,0,B55*Assumptions!$B$6/12)</f>
        <v/>
      </c>
      <c r="E55" s="15">
        <f>IF(B55&lt;=0,0,C55-D55)</f>
        <v/>
      </c>
      <c r="F55" s="15">
        <f>IF(B55&lt;=0,0,B55-E55)</f>
        <v/>
      </c>
      <c r="G55" s="15">
        <f>IF(B55&lt;=0,G54,G54+D55)</f>
        <v/>
      </c>
    </row>
    <row r="56">
      <c r="A56" t="n">
        <v>53</v>
      </c>
      <c r="B56" s="15">
        <f>IF(F55&lt;=0,0,F55)</f>
        <v/>
      </c>
      <c r="C56" s="15">
        <f>IF(B56&lt;=0,0,MIN(Assumptions!$B$13,B56+D56))</f>
        <v/>
      </c>
      <c r="D56" s="15">
        <f>IF(B56&lt;=0,0,B56*Assumptions!$B$6/12)</f>
        <v/>
      </c>
      <c r="E56" s="15">
        <f>IF(B56&lt;=0,0,C56-D56)</f>
        <v/>
      </c>
      <c r="F56" s="15">
        <f>IF(B56&lt;=0,0,B56-E56)</f>
        <v/>
      </c>
      <c r="G56" s="15">
        <f>IF(B56&lt;=0,G55,G55+D56)</f>
        <v/>
      </c>
    </row>
    <row r="57">
      <c r="A57" t="n">
        <v>54</v>
      </c>
      <c r="B57" s="15">
        <f>IF(F56&lt;=0,0,F56)</f>
        <v/>
      </c>
      <c r="C57" s="15">
        <f>IF(B57&lt;=0,0,MIN(Assumptions!$B$13,B57+D57))</f>
        <v/>
      </c>
      <c r="D57" s="15">
        <f>IF(B57&lt;=0,0,B57*Assumptions!$B$6/12)</f>
        <v/>
      </c>
      <c r="E57" s="15">
        <f>IF(B57&lt;=0,0,C57-D57)</f>
        <v/>
      </c>
      <c r="F57" s="15">
        <f>IF(B57&lt;=0,0,B57-E57)</f>
        <v/>
      </c>
      <c r="G57" s="15">
        <f>IF(B57&lt;=0,G56,G56+D57)</f>
        <v/>
      </c>
    </row>
    <row r="58">
      <c r="A58" t="n">
        <v>55</v>
      </c>
      <c r="B58" s="15">
        <f>IF(F57&lt;=0,0,F57)</f>
        <v/>
      </c>
      <c r="C58" s="15">
        <f>IF(B58&lt;=0,0,MIN(Assumptions!$B$13,B58+D58))</f>
        <v/>
      </c>
      <c r="D58" s="15">
        <f>IF(B58&lt;=0,0,B58*Assumptions!$B$6/12)</f>
        <v/>
      </c>
      <c r="E58" s="15">
        <f>IF(B58&lt;=0,0,C58-D58)</f>
        <v/>
      </c>
      <c r="F58" s="15">
        <f>IF(B58&lt;=0,0,B58-E58)</f>
        <v/>
      </c>
      <c r="G58" s="15">
        <f>IF(B58&lt;=0,G57,G57+D58)</f>
        <v/>
      </c>
    </row>
    <row r="59">
      <c r="A59" t="n">
        <v>56</v>
      </c>
      <c r="B59" s="15">
        <f>IF(F58&lt;=0,0,F58)</f>
        <v/>
      </c>
      <c r="C59" s="15">
        <f>IF(B59&lt;=0,0,MIN(Assumptions!$B$13,B59+D59))</f>
        <v/>
      </c>
      <c r="D59" s="15">
        <f>IF(B59&lt;=0,0,B59*Assumptions!$B$6/12)</f>
        <v/>
      </c>
      <c r="E59" s="15">
        <f>IF(B59&lt;=0,0,C59-D59)</f>
        <v/>
      </c>
      <c r="F59" s="15">
        <f>IF(B59&lt;=0,0,B59-E59)</f>
        <v/>
      </c>
      <c r="G59" s="15">
        <f>IF(B59&lt;=0,G58,G58+D59)</f>
        <v/>
      </c>
    </row>
    <row r="60">
      <c r="A60" t="n">
        <v>57</v>
      </c>
      <c r="B60" s="15">
        <f>IF(F59&lt;=0,0,F59)</f>
        <v/>
      </c>
      <c r="C60" s="15">
        <f>IF(B60&lt;=0,0,MIN(Assumptions!$B$13,B60+D60))</f>
        <v/>
      </c>
      <c r="D60" s="15">
        <f>IF(B60&lt;=0,0,B60*Assumptions!$B$6/12)</f>
        <v/>
      </c>
      <c r="E60" s="15">
        <f>IF(B60&lt;=0,0,C60-D60)</f>
        <v/>
      </c>
      <c r="F60" s="15">
        <f>IF(B60&lt;=0,0,B60-E60)</f>
        <v/>
      </c>
      <c r="G60" s="15">
        <f>IF(B60&lt;=0,G59,G59+D60)</f>
        <v/>
      </c>
    </row>
    <row r="61">
      <c r="A61" t="n">
        <v>58</v>
      </c>
      <c r="B61" s="15">
        <f>IF(F60&lt;=0,0,F60)</f>
        <v/>
      </c>
      <c r="C61" s="15">
        <f>IF(B61&lt;=0,0,MIN(Assumptions!$B$13,B61+D61))</f>
        <v/>
      </c>
      <c r="D61" s="15">
        <f>IF(B61&lt;=0,0,B61*Assumptions!$B$6/12)</f>
        <v/>
      </c>
      <c r="E61" s="15">
        <f>IF(B61&lt;=0,0,C61-D61)</f>
        <v/>
      </c>
      <c r="F61" s="15">
        <f>IF(B61&lt;=0,0,B61-E61)</f>
        <v/>
      </c>
      <c r="G61" s="15">
        <f>IF(B61&lt;=0,G60,G60+D61)</f>
        <v/>
      </c>
    </row>
    <row r="62">
      <c r="A62" t="n">
        <v>59</v>
      </c>
      <c r="B62" s="15">
        <f>IF(F61&lt;=0,0,F61)</f>
        <v/>
      </c>
      <c r="C62" s="15">
        <f>IF(B62&lt;=0,0,MIN(Assumptions!$B$13,B62+D62))</f>
        <v/>
      </c>
      <c r="D62" s="15">
        <f>IF(B62&lt;=0,0,B62*Assumptions!$B$6/12)</f>
        <v/>
      </c>
      <c r="E62" s="15">
        <f>IF(B62&lt;=0,0,C62-D62)</f>
        <v/>
      </c>
      <c r="F62" s="15">
        <f>IF(B62&lt;=0,0,B62-E62)</f>
        <v/>
      </c>
      <c r="G62" s="15">
        <f>IF(B62&lt;=0,G61,G61+D62)</f>
        <v/>
      </c>
    </row>
    <row r="63">
      <c r="A63" t="n">
        <v>60</v>
      </c>
      <c r="B63" s="15">
        <f>IF(F62&lt;=0,0,F62)</f>
        <v/>
      </c>
      <c r="C63" s="15">
        <f>IF(B63&lt;=0,0,MIN(Assumptions!$B$13,B63+D63))</f>
        <v/>
      </c>
      <c r="D63" s="15">
        <f>IF(B63&lt;=0,0,B63*Assumptions!$B$6/12)</f>
        <v/>
      </c>
      <c r="E63" s="15">
        <f>IF(B63&lt;=0,0,C63-D63)</f>
        <v/>
      </c>
      <c r="F63" s="15">
        <f>IF(B63&lt;=0,0,B63-E63)</f>
        <v/>
      </c>
      <c r="G63" s="15">
        <f>IF(B63&lt;=0,G62,G62+D63)</f>
        <v/>
      </c>
    </row>
    <row r="64">
      <c r="A64" t="n">
        <v>61</v>
      </c>
      <c r="B64" s="15">
        <f>IF(F63&lt;=0,0,F63)</f>
        <v/>
      </c>
      <c r="C64" s="15">
        <f>IF(B64&lt;=0,0,MIN(Assumptions!$B$13,B64+D64))</f>
        <v/>
      </c>
      <c r="D64" s="15">
        <f>IF(B64&lt;=0,0,B64*Assumptions!$B$6/12)</f>
        <v/>
      </c>
      <c r="E64" s="15">
        <f>IF(B64&lt;=0,0,C64-D64)</f>
        <v/>
      </c>
      <c r="F64" s="15">
        <f>IF(B64&lt;=0,0,B64-E64)</f>
        <v/>
      </c>
      <c r="G64" s="15">
        <f>IF(B64&lt;=0,G63,G63+D64)</f>
        <v/>
      </c>
    </row>
    <row r="65">
      <c r="A65" t="n">
        <v>62</v>
      </c>
      <c r="B65" s="15">
        <f>IF(F64&lt;=0,0,F64)</f>
        <v/>
      </c>
      <c r="C65" s="15">
        <f>IF(B65&lt;=0,0,MIN(Assumptions!$B$13,B65+D65))</f>
        <v/>
      </c>
      <c r="D65" s="15">
        <f>IF(B65&lt;=0,0,B65*Assumptions!$B$6/12)</f>
        <v/>
      </c>
      <c r="E65" s="15">
        <f>IF(B65&lt;=0,0,C65-D65)</f>
        <v/>
      </c>
      <c r="F65" s="15">
        <f>IF(B65&lt;=0,0,B65-E65)</f>
        <v/>
      </c>
      <c r="G65" s="15">
        <f>IF(B65&lt;=0,G64,G64+D65)</f>
        <v/>
      </c>
    </row>
    <row r="66">
      <c r="A66" t="n">
        <v>63</v>
      </c>
      <c r="B66" s="15">
        <f>IF(F65&lt;=0,0,F65)</f>
        <v/>
      </c>
      <c r="C66" s="15">
        <f>IF(B66&lt;=0,0,MIN(Assumptions!$B$13,B66+D66))</f>
        <v/>
      </c>
      <c r="D66" s="15">
        <f>IF(B66&lt;=0,0,B66*Assumptions!$B$6/12)</f>
        <v/>
      </c>
      <c r="E66" s="15">
        <f>IF(B66&lt;=0,0,C66-D66)</f>
        <v/>
      </c>
      <c r="F66" s="15">
        <f>IF(B66&lt;=0,0,B66-E66)</f>
        <v/>
      </c>
      <c r="G66" s="15">
        <f>IF(B66&lt;=0,G65,G65+D66)</f>
        <v/>
      </c>
    </row>
    <row r="67">
      <c r="A67" t="n">
        <v>64</v>
      </c>
      <c r="B67" s="15">
        <f>IF(F66&lt;=0,0,F66)</f>
        <v/>
      </c>
      <c r="C67" s="15">
        <f>IF(B67&lt;=0,0,MIN(Assumptions!$B$13,B67+D67))</f>
        <v/>
      </c>
      <c r="D67" s="15">
        <f>IF(B67&lt;=0,0,B67*Assumptions!$B$6/12)</f>
        <v/>
      </c>
      <c r="E67" s="15">
        <f>IF(B67&lt;=0,0,C67-D67)</f>
        <v/>
      </c>
      <c r="F67" s="15">
        <f>IF(B67&lt;=0,0,B67-E67)</f>
        <v/>
      </c>
      <c r="G67" s="15">
        <f>IF(B67&lt;=0,G66,G66+D67)</f>
        <v/>
      </c>
    </row>
    <row r="68">
      <c r="A68" t="n">
        <v>65</v>
      </c>
      <c r="B68" s="15">
        <f>IF(F67&lt;=0,0,F67)</f>
        <v/>
      </c>
      <c r="C68" s="15">
        <f>IF(B68&lt;=0,0,MIN(Assumptions!$B$13,B68+D68))</f>
        <v/>
      </c>
      <c r="D68" s="15">
        <f>IF(B68&lt;=0,0,B68*Assumptions!$B$6/12)</f>
        <v/>
      </c>
      <c r="E68" s="15">
        <f>IF(B68&lt;=0,0,C68-D68)</f>
        <v/>
      </c>
      <c r="F68" s="15">
        <f>IF(B68&lt;=0,0,B68-E68)</f>
        <v/>
      </c>
      <c r="G68" s="15">
        <f>IF(B68&lt;=0,G67,G67+D68)</f>
        <v/>
      </c>
    </row>
    <row r="69">
      <c r="A69" t="n">
        <v>66</v>
      </c>
      <c r="B69" s="15">
        <f>IF(F68&lt;=0,0,F68)</f>
        <v/>
      </c>
      <c r="C69" s="15">
        <f>IF(B69&lt;=0,0,MIN(Assumptions!$B$13,B69+D69))</f>
        <v/>
      </c>
      <c r="D69" s="15">
        <f>IF(B69&lt;=0,0,B69*Assumptions!$B$6/12)</f>
        <v/>
      </c>
      <c r="E69" s="15">
        <f>IF(B69&lt;=0,0,C69-D69)</f>
        <v/>
      </c>
      <c r="F69" s="15">
        <f>IF(B69&lt;=0,0,B69-E69)</f>
        <v/>
      </c>
      <c r="G69" s="15">
        <f>IF(B69&lt;=0,G68,G68+D69)</f>
        <v/>
      </c>
    </row>
    <row r="70">
      <c r="A70" t="n">
        <v>67</v>
      </c>
      <c r="B70" s="15">
        <f>IF(F69&lt;=0,0,F69)</f>
        <v/>
      </c>
      <c r="C70" s="15">
        <f>IF(B70&lt;=0,0,MIN(Assumptions!$B$13,B70+D70))</f>
        <v/>
      </c>
      <c r="D70" s="15">
        <f>IF(B70&lt;=0,0,B70*Assumptions!$B$6/12)</f>
        <v/>
      </c>
      <c r="E70" s="15">
        <f>IF(B70&lt;=0,0,C70-D70)</f>
        <v/>
      </c>
      <c r="F70" s="15">
        <f>IF(B70&lt;=0,0,B70-E70)</f>
        <v/>
      </c>
      <c r="G70" s="15">
        <f>IF(B70&lt;=0,G69,G69+D70)</f>
        <v/>
      </c>
    </row>
    <row r="71">
      <c r="A71" t="n">
        <v>68</v>
      </c>
      <c r="B71" s="15">
        <f>IF(F70&lt;=0,0,F70)</f>
        <v/>
      </c>
      <c r="C71" s="15">
        <f>IF(B71&lt;=0,0,MIN(Assumptions!$B$13,B71+D71))</f>
        <v/>
      </c>
      <c r="D71" s="15">
        <f>IF(B71&lt;=0,0,B71*Assumptions!$B$6/12)</f>
        <v/>
      </c>
      <c r="E71" s="15">
        <f>IF(B71&lt;=0,0,C71-D71)</f>
        <v/>
      </c>
      <c r="F71" s="15">
        <f>IF(B71&lt;=0,0,B71-E71)</f>
        <v/>
      </c>
      <c r="G71" s="15">
        <f>IF(B71&lt;=0,G70,G70+D71)</f>
        <v/>
      </c>
    </row>
    <row r="72">
      <c r="A72" t="n">
        <v>69</v>
      </c>
      <c r="B72" s="15">
        <f>IF(F71&lt;=0,0,F71)</f>
        <v/>
      </c>
      <c r="C72" s="15">
        <f>IF(B72&lt;=0,0,MIN(Assumptions!$B$13,B72+D72))</f>
        <v/>
      </c>
      <c r="D72" s="15">
        <f>IF(B72&lt;=0,0,B72*Assumptions!$B$6/12)</f>
        <v/>
      </c>
      <c r="E72" s="15">
        <f>IF(B72&lt;=0,0,C72-D72)</f>
        <v/>
      </c>
      <c r="F72" s="15">
        <f>IF(B72&lt;=0,0,B72-E72)</f>
        <v/>
      </c>
      <c r="G72" s="15">
        <f>IF(B72&lt;=0,G71,G71+D72)</f>
        <v/>
      </c>
    </row>
    <row r="73">
      <c r="A73" t="n">
        <v>70</v>
      </c>
      <c r="B73" s="15">
        <f>IF(F72&lt;=0,0,F72)</f>
        <v/>
      </c>
      <c r="C73" s="15">
        <f>IF(B73&lt;=0,0,MIN(Assumptions!$B$13,B73+D73))</f>
        <v/>
      </c>
      <c r="D73" s="15">
        <f>IF(B73&lt;=0,0,B73*Assumptions!$B$6/12)</f>
        <v/>
      </c>
      <c r="E73" s="15">
        <f>IF(B73&lt;=0,0,C73-D73)</f>
        <v/>
      </c>
      <c r="F73" s="15">
        <f>IF(B73&lt;=0,0,B73-E73)</f>
        <v/>
      </c>
      <c r="G73" s="15">
        <f>IF(B73&lt;=0,G72,G72+D73)</f>
        <v/>
      </c>
    </row>
    <row r="74">
      <c r="A74" t="n">
        <v>71</v>
      </c>
      <c r="B74" s="15">
        <f>IF(F73&lt;=0,0,F73)</f>
        <v/>
      </c>
      <c r="C74" s="15">
        <f>IF(B74&lt;=0,0,MIN(Assumptions!$B$13,B74+D74))</f>
        <v/>
      </c>
      <c r="D74" s="15">
        <f>IF(B74&lt;=0,0,B74*Assumptions!$B$6/12)</f>
        <v/>
      </c>
      <c r="E74" s="15">
        <f>IF(B74&lt;=0,0,C74-D74)</f>
        <v/>
      </c>
      <c r="F74" s="15">
        <f>IF(B74&lt;=0,0,B74-E74)</f>
        <v/>
      </c>
      <c r="G74" s="15">
        <f>IF(B74&lt;=0,G73,G73+D74)</f>
        <v/>
      </c>
    </row>
    <row r="75">
      <c r="A75" t="n">
        <v>72</v>
      </c>
      <c r="B75" s="15">
        <f>IF(F74&lt;=0,0,F74)</f>
        <v/>
      </c>
      <c r="C75" s="15">
        <f>IF(B75&lt;=0,0,MIN(Assumptions!$B$13,B75+D75))</f>
        <v/>
      </c>
      <c r="D75" s="15">
        <f>IF(B75&lt;=0,0,B75*Assumptions!$B$6/12)</f>
        <v/>
      </c>
      <c r="E75" s="15">
        <f>IF(B75&lt;=0,0,C75-D75)</f>
        <v/>
      </c>
      <c r="F75" s="15">
        <f>IF(B75&lt;=0,0,B75-E75)</f>
        <v/>
      </c>
      <c r="G75" s="15">
        <f>IF(B75&lt;=0,G74,G74+D75)</f>
        <v/>
      </c>
    </row>
    <row r="76">
      <c r="A76" t="n">
        <v>73</v>
      </c>
      <c r="B76" s="15">
        <f>IF(F75&lt;=0,0,F75)</f>
        <v/>
      </c>
      <c r="C76" s="15">
        <f>IF(B76&lt;=0,0,MIN(Assumptions!$B$13,B76+D76))</f>
        <v/>
      </c>
      <c r="D76" s="15">
        <f>IF(B76&lt;=0,0,B76*Assumptions!$B$6/12)</f>
        <v/>
      </c>
      <c r="E76" s="15">
        <f>IF(B76&lt;=0,0,C76-D76)</f>
        <v/>
      </c>
      <c r="F76" s="15">
        <f>IF(B76&lt;=0,0,B76-E76)</f>
        <v/>
      </c>
      <c r="G76" s="15">
        <f>IF(B76&lt;=0,G75,G75+D76)</f>
        <v/>
      </c>
    </row>
    <row r="77">
      <c r="A77" t="n">
        <v>74</v>
      </c>
      <c r="B77" s="15">
        <f>IF(F76&lt;=0,0,F76)</f>
        <v/>
      </c>
      <c r="C77" s="15">
        <f>IF(B77&lt;=0,0,MIN(Assumptions!$B$13,B77+D77))</f>
        <v/>
      </c>
      <c r="D77" s="15">
        <f>IF(B77&lt;=0,0,B77*Assumptions!$B$6/12)</f>
        <v/>
      </c>
      <c r="E77" s="15">
        <f>IF(B77&lt;=0,0,C77-D77)</f>
        <v/>
      </c>
      <c r="F77" s="15">
        <f>IF(B77&lt;=0,0,B77-E77)</f>
        <v/>
      </c>
      <c r="G77" s="15">
        <f>IF(B77&lt;=0,G76,G76+D77)</f>
        <v/>
      </c>
    </row>
    <row r="78">
      <c r="A78" t="n">
        <v>75</v>
      </c>
      <c r="B78" s="15">
        <f>IF(F77&lt;=0,0,F77)</f>
        <v/>
      </c>
      <c r="C78" s="15">
        <f>IF(B78&lt;=0,0,MIN(Assumptions!$B$13,B78+D78))</f>
        <v/>
      </c>
      <c r="D78" s="15">
        <f>IF(B78&lt;=0,0,B78*Assumptions!$B$6/12)</f>
        <v/>
      </c>
      <c r="E78" s="15">
        <f>IF(B78&lt;=0,0,C78-D78)</f>
        <v/>
      </c>
      <c r="F78" s="15">
        <f>IF(B78&lt;=0,0,B78-E78)</f>
        <v/>
      </c>
      <c r="G78" s="15">
        <f>IF(B78&lt;=0,G77,G77+D78)</f>
        <v/>
      </c>
    </row>
    <row r="79">
      <c r="A79" t="n">
        <v>76</v>
      </c>
      <c r="B79" s="15">
        <f>IF(F78&lt;=0,0,F78)</f>
        <v/>
      </c>
      <c r="C79" s="15">
        <f>IF(B79&lt;=0,0,MIN(Assumptions!$B$13,B79+D79))</f>
        <v/>
      </c>
      <c r="D79" s="15">
        <f>IF(B79&lt;=0,0,B79*Assumptions!$B$6/12)</f>
        <v/>
      </c>
      <c r="E79" s="15">
        <f>IF(B79&lt;=0,0,C79-D79)</f>
        <v/>
      </c>
      <c r="F79" s="15">
        <f>IF(B79&lt;=0,0,B79-E79)</f>
        <v/>
      </c>
      <c r="G79" s="15">
        <f>IF(B79&lt;=0,G78,G78+D79)</f>
        <v/>
      </c>
    </row>
    <row r="80">
      <c r="A80" t="n">
        <v>77</v>
      </c>
      <c r="B80" s="15">
        <f>IF(F79&lt;=0,0,F79)</f>
        <v/>
      </c>
      <c r="C80" s="15">
        <f>IF(B80&lt;=0,0,MIN(Assumptions!$B$13,B80+D80))</f>
        <v/>
      </c>
      <c r="D80" s="15">
        <f>IF(B80&lt;=0,0,B80*Assumptions!$B$6/12)</f>
        <v/>
      </c>
      <c r="E80" s="15">
        <f>IF(B80&lt;=0,0,C80-D80)</f>
        <v/>
      </c>
      <c r="F80" s="15">
        <f>IF(B80&lt;=0,0,B80-E80)</f>
        <v/>
      </c>
      <c r="G80" s="15">
        <f>IF(B80&lt;=0,G79,G79+D80)</f>
        <v/>
      </c>
    </row>
    <row r="81">
      <c r="A81" t="n">
        <v>78</v>
      </c>
      <c r="B81" s="15">
        <f>IF(F80&lt;=0,0,F80)</f>
        <v/>
      </c>
      <c r="C81" s="15">
        <f>IF(B81&lt;=0,0,MIN(Assumptions!$B$13,B81+D81))</f>
        <v/>
      </c>
      <c r="D81" s="15">
        <f>IF(B81&lt;=0,0,B81*Assumptions!$B$6/12)</f>
        <v/>
      </c>
      <c r="E81" s="15">
        <f>IF(B81&lt;=0,0,C81-D81)</f>
        <v/>
      </c>
      <c r="F81" s="15">
        <f>IF(B81&lt;=0,0,B81-E81)</f>
        <v/>
      </c>
      <c r="G81" s="15">
        <f>IF(B81&lt;=0,G80,G80+D81)</f>
        <v/>
      </c>
    </row>
    <row r="82">
      <c r="A82" t="n">
        <v>79</v>
      </c>
      <c r="B82" s="15">
        <f>IF(F81&lt;=0,0,F81)</f>
        <v/>
      </c>
      <c r="C82" s="15">
        <f>IF(B82&lt;=0,0,MIN(Assumptions!$B$13,B82+D82))</f>
        <v/>
      </c>
      <c r="D82" s="15">
        <f>IF(B82&lt;=0,0,B82*Assumptions!$B$6/12)</f>
        <v/>
      </c>
      <c r="E82" s="15">
        <f>IF(B82&lt;=0,0,C82-D82)</f>
        <v/>
      </c>
      <c r="F82" s="15">
        <f>IF(B82&lt;=0,0,B82-E82)</f>
        <v/>
      </c>
      <c r="G82" s="15">
        <f>IF(B82&lt;=0,G81,G81+D82)</f>
        <v/>
      </c>
    </row>
    <row r="83">
      <c r="A83" t="n">
        <v>80</v>
      </c>
      <c r="B83" s="15">
        <f>IF(F82&lt;=0,0,F82)</f>
        <v/>
      </c>
      <c r="C83" s="15">
        <f>IF(B83&lt;=0,0,MIN(Assumptions!$B$13,B83+D83))</f>
        <v/>
      </c>
      <c r="D83" s="15">
        <f>IF(B83&lt;=0,0,B83*Assumptions!$B$6/12)</f>
        <v/>
      </c>
      <c r="E83" s="15">
        <f>IF(B83&lt;=0,0,C83-D83)</f>
        <v/>
      </c>
      <c r="F83" s="15">
        <f>IF(B83&lt;=0,0,B83-E83)</f>
        <v/>
      </c>
      <c r="G83" s="15">
        <f>IF(B83&lt;=0,G82,G82+D83)</f>
        <v/>
      </c>
    </row>
    <row r="84">
      <c r="A84" t="n">
        <v>81</v>
      </c>
      <c r="B84" s="15">
        <f>IF(F83&lt;=0,0,F83)</f>
        <v/>
      </c>
      <c r="C84" s="15">
        <f>IF(B84&lt;=0,0,MIN(Assumptions!$B$13,B84+D84))</f>
        <v/>
      </c>
      <c r="D84" s="15">
        <f>IF(B84&lt;=0,0,B84*Assumptions!$B$6/12)</f>
        <v/>
      </c>
      <c r="E84" s="15">
        <f>IF(B84&lt;=0,0,C84-D84)</f>
        <v/>
      </c>
      <c r="F84" s="15">
        <f>IF(B84&lt;=0,0,B84-E84)</f>
        <v/>
      </c>
      <c r="G84" s="15">
        <f>IF(B84&lt;=0,G83,G83+D84)</f>
        <v/>
      </c>
    </row>
    <row r="85">
      <c r="A85" t="n">
        <v>82</v>
      </c>
      <c r="B85" s="15">
        <f>IF(F84&lt;=0,0,F84)</f>
        <v/>
      </c>
      <c r="C85" s="15">
        <f>IF(B85&lt;=0,0,MIN(Assumptions!$B$13,B85+D85))</f>
        <v/>
      </c>
      <c r="D85" s="15">
        <f>IF(B85&lt;=0,0,B85*Assumptions!$B$6/12)</f>
        <v/>
      </c>
      <c r="E85" s="15">
        <f>IF(B85&lt;=0,0,C85-D85)</f>
        <v/>
      </c>
      <c r="F85" s="15">
        <f>IF(B85&lt;=0,0,B85-E85)</f>
        <v/>
      </c>
      <c r="G85" s="15">
        <f>IF(B85&lt;=0,G84,G84+D85)</f>
        <v/>
      </c>
    </row>
    <row r="86">
      <c r="A86" t="n">
        <v>83</v>
      </c>
      <c r="B86" s="15">
        <f>IF(F85&lt;=0,0,F85)</f>
        <v/>
      </c>
      <c r="C86" s="15">
        <f>IF(B86&lt;=0,0,MIN(Assumptions!$B$13,B86+D86))</f>
        <v/>
      </c>
      <c r="D86" s="15">
        <f>IF(B86&lt;=0,0,B86*Assumptions!$B$6/12)</f>
        <v/>
      </c>
      <c r="E86" s="15">
        <f>IF(B86&lt;=0,0,C86-D86)</f>
        <v/>
      </c>
      <c r="F86" s="15">
        <f>IF(B86&lt;=0,0,B86-E86)</f>
        <v/>
      </c>
      <c r="G86" s="15">
        <f>IF(B86&lt;=0,G85,G85+D86)</f>
        <v/>
      </c>
    </row>
    <row r="87">
      <c r="A87" t="n">
        <v>84</v>
      </c>
      <c r="B87" s="15">
        <f>IF(F86&lt;=0,0,F86)</f>
        <v/>
      </c>
      <c r="C87" s="15">
        <f>IF(B87&lt;=0,0,MIN(Assumptions!$B$13,B87+D87))</f>
        <v/>
      </c>
      <c r="D87" s="15">
        <f>IF(B87&lt;=0,0,B87*Assumptions!$B$6/12)</f>
        <v/>
      </c>
      <c r="E87" s="15">
        <f>IF(B87&lt;=0,0,C87-D87)</f>
        <v/>
      </c>
      <c r="F87" s="15">
        <f>IF(B87&lt;=0,0,B87-E87)</f>
        <v/>
      </c>
      <c r="G87" s="15">
        <f>IF(B87&lt;=0,G86,G86+D87)</f>
        <v/>
      </c>
    </row>
    <row r="88">
      <c r="A88" t="n">
        <v>85</v>
      </c>
      <c r="B88" s="15">
        <f>IF(F87&lt;=0,0,F87)</f>
        <v/>
      </c>
      <c r="C88" s="15">
        <f>IF(B88&lt;=0,0,MIN(Assumptions!$B$13,B88+D88))</f>
        <v/>
      </c>
      <c r="D88" s="15">
        <f>IF(B88&lt;=0,0,B88*Assumptions!$B$6/12)</f>
        <v/>
      </c>
      <c r="E88" s="15">
        <f>IF(B88&lt;=0,0,C88-D88)</f>
        <v/>
      </c>
      <c r="F88" s="15">
        <f>IF(B88&lt;=0,0,B88-E88)</f>
        <v/>
      </c>
      <c r="G88" s="15">
        <f>IF(B88&lt;=0,G87,G87+D88)</f>
        <v/>
      </c>
    </row>
    <row r="89">
      <c r="A89" t="n">
        <v>86</v>
      </c>
      <c r="B89" s="15">
        <f>IF(F88&lt;=0,0,F88)</f>
        <v/>
      </c>
      <c r="C89" s="15">
        <f>IF(B89&lt;=0,0,MIN(Assumptions!$B$13,B89+D89))</f>
        <v/>
      </c>
      <c r="D89" s="15">
        <f>IF(B89&lt;=0,0,B89*Assumptions!$B$6/12)</f>
        <v/>
      </c>
      <c r="E89" s="15">
        <f>IF(B89&lt;=0,0,C89-D89)</f>
        <v/>
      </c>
      <c r="F89" s="15">
        <f>IF(B89&lt;=0,0,B89-E89)</f>
        <v/>
      </c>
      <c r="G89" s="15">
        <f>IF(B89&lt;=0,G88,G88+D89)</f>
        <v/>
      </c>
    </row>
    <row r="90">
      <c r="A90" t="n">
        <v>87</v>
      </c>
      <c r="B90" s="15">
        <f>IF(F89&lt;=0,0,F89)</f>
        <v/>
      </c>
      <c r="C90" s="15">
        <f>IF(B90&lt;=0,0,MIN(Assumptions!$B$13,B90+D90))</f>
        <v/>
      </c>
      <c r="D90" s="15">
        <f>IF(B90&lt;=0,0,B90*Assumptions!$B$6/12)</f>
        <v/>
      </c>
      <c r="E90" s="15">
        <f>IF(B90&lt;=0,0,C90-D90)</f>
        <v/>
      </c>
      <c r="F90" s="15">
        <f>IF(B90&lt;=0,0,B90-E90)</f>
        <v/>
      </c>
      <c r="G90" s="15">
        <f>IF(B90&lt;=0,G89,G89+D90)</f>
        <v/>
      </c>
    </row>
    <row r="91">
      <c r="A91" t="n">
        <v>88</v>
      </c>
      <c r="B91" s="15">
        <f>IF(F90&lt;=0,0,F90)</f>
        <v/>
      </c>
      <c r="C91" s="15">
        <f>IF(B91&lt;=0,0,MIN(Assumptions!$B$13,B91+D91))</f>
        <v/>
      </c>
      <c r="D91" s="15">
        <f>IF(B91&lt;=0,0,B91*Assumptions!$B$6/12)</f>
        <v/>
      </c>
      <c r="E91" s="15">
        <f>IF(B91&lt;=0,0,C91-D91)</f>
        <v/>
      </c>
      <c r="F91" s="15">
        <f>IF(B91&lt;=0,0,B91-E91)</f>
        <v/>
      </c>
      <c r="G91" s="15">
        <f>IF(B91&lt;=0,G90,G90+D91)</f>
        <v/>
      </c>
    </row>
    <row r="92">
      <c r="A92" t="n">
        <v>89</v>
      </c>
      <c r="B92" s="15">
        <f>IF(F91&lt;=0,0,F91)</f>
        <v/>
      </c>
      <c r="C92" s="15">
        <f>IF(B92&lt;=0,0,MIN(Assumptions!$B$13,B92+D92))</f>
        <v/>
      </c>
      <c r="D92" s="15">
        <f>IF(B92&lt;=0,0,B92*Assumptions!$B$6/12)</f>
        <v/>
      </c>
      <c r="E92" s="15">
        <f>IF(B92&lt;=0,0,C92-D92)</f>
        <v/>
      </c>
      <c r="F92" s="15">
        <f>IF(B92&lt;=0,0,B92-E92)</f>
        <v/>
      </c>
      <c r="G92" s="15">
        <f>IF(B92&lt;=0,G91,G91+D92)</f>
        <v/>
      </c>
    </row>
    <row r="93">
      <c r="A93" t="n">
        <v>90</v>
      </c>
      <c r="B93" s="15">
        <f>IF(F92&lt;=0,0,F92)</f>
        <v/>
      </c>
      <c r="C93" s="15">
        <f>IF(B93&lt;=0,0,MIN(Assumptions!$B$13,B93+D93))</f>
        <v/>
      </c>
      <c r="D93" s="15">
        <f>IF(B93&lt;=0,0,B93*Assumptions!$B$6/12)</f>
        <v/>
      </c>
      <c r="E93" s="15">
        <f>IF(B93&lt;=0,0,C93-D93)</f>
        <v/>
      </c>
      <c r="F93" s="15">
        <f>IF(B93&lt;=0,0,B93-E93)</f>
        <v/>
      </c>
      <c r="G93" s="15">
        <f>IF(B93&lt;=0,G92,G92+D93)</f>
        <v/>
      </c>
    </row>
    <row r="94">
      <c r="A94" t="n">
        <v>91</v>
      </c>
      <c r="B94" s="15">
        <f>IF(F93&lt;=0,0,F93)</f>
        <v/>
      </c>
      <c r="C94" s="15">
        <f>IF(B94&lt;=0,0,MIN(Assumptions!$B$13,B94+D94))</f>
        <v/>
      </c>
      <c r="D94" s="15">
        <f>IF(B94&lt;=0,0,B94*Assumptions!$B$6/12)</f>
        <v/>
      </c>
      <c r="E94" s="15">
        <f>IF(B94&lt;=0,0,C94-D94)</f>
        <v/>
      </c>
      <c r="F94" s="15">
        <f>IF(B94&lt;=0,0,B94-E94)</f>
        <v/>
      </c>
      <c r="G94" s="15">
        <f>IF(B94&lt;=0,G93,G93+D94)</f>
        <v/>
      </c>
    </row>
    <row r="95">
      <c r="A95" t="n">
        <v>92</v>
      </c>
      <c r="B95" s="15">
        <f>IF(F94&lt;=0,0,F94)</f>
        <v/>
      </c>
      <c r="C95" s="15">
        <f>IF(B95&lt;=0,0,MIN(Assumptions!$B$13,B95+D95))</f>
        <v/>
      </c>
      <c r="D95" s="15">
        <f>IF(B95&lt;=0,0,B95*Assumptions!$B$6/12)</f>
        <v/>
      </c>
      <c r="E95" s="15">
        <f>IF(B95&lt;=0,0,C95-D95)</f>
        <v/>
      </c>
      <c r="F95" s="15">
        <f>IF(B95&lt;=0,0,B95-E95)</f>
        <v/>
      </c>
      <c r="G95" s="15">
        <f>IF(B95&lt;=0,G94,G94+D95)</f>
        <v/>
      </c>
    </row>
    <row r="96">
      <c r="A96" t="n">
        <v>93</v>
      </c>
      <c r="B96" s="15">
        <f>IF(F95&lt;=0,0,F95)</f>
        <v/>
      </c>
      <c r="C96" s="15">
        <f>IF(B96&lt;=0,0,MIN(Assumptions!$B$13,B96+D96))</f>
        <v/>
      </c>
      <c r="D96" s="15">
        <f>IF(B96&lt;=0,0,B96*Assumptions!$B$6/12)</f>
        <v/>
      </c>
      <c r="E96" s="15">
        <f>IF(B96&lt;=0,0,C96-D96)</f>
        <v/>
      </c>
      <c r="F96" s="15">
        <f>IF(B96&lt;=0,0,B96-E96)</f>
        <v/>
      </c>
      <c r="G96" s="15">
        <f>IF(B96&lt;=0,G95,G95+D96)</f>
        <v/>
      </c>
    </row>
    <row r="97">
      <c r="A97" t="n">
        <v>94</v>
      </c>
      <c r="B97" s="15">
        <f>IF(F96&lt;=0,0,F96)</f>
        <v/>
      </c>
      <c r="C97" s="15">
        <f>IF(B97&lt;=0,0,MIN(Assumptions!$B$13,B97+D97))</f>
        <v/>
      </c>
      <c r="D97" s="15">
        <f>IF(B97&lt;=0,0,B97*Assumptions!$B$6/12)</f>
        <v/>
      </c>
      <c r="E97" s="15">
        <f>IF(B97&lt;=0,0,C97-D97)</f>
        <v/>
      </c>
      <c r="F97" s="15">
        <f>IF(B97&lt;=0,0,B97-E97)</f>
        <v/>
      </c>
      <c r="G97" s="15">
        <f>IF(B97&lt;=0,G96,G96+D97)</f>
        <v/>
      </c>
    </row>
    <row r="98">
      <c r="A98" t="n">
        <v>95</v>
      </c>
      <c r="B98" s="15">
        <f>IF(F97&lt;=0,0,F97)</f>
        <v/>
      </c>
      <c r="C98" s="15">
        <f>IF(B98&lt;=0,0,MIN(Assumptions!$B$13,B98+D98))</f>
        <v/>
      </c>
      <c r="D98" s="15">
        <f>IF(B98&lt;=0,0,B98*Assumptions!$B$6/12)</f>
        <v/>
      </c>
      <c r="E98" s="15">
        <f>IF(B98&lt;=0,0,C98-D98)</f>
        <v/>
      </c>
      <c r="F98" s="15">
        <f>IF(B98&lt;=0,0,B98-E98)</f>
        <v/>
      </c>
      <c r="G98" s="15">
        <f>IF(B98&lt;=0,G97,G97+D98)</f>
        <v/>
      </c>
    </row>
    <row r="99">
      <c r="A99" t="n">
        <v>96</v>
      </c>
      <c r="B99" s="15">
        <f>IF(F98&lt;=0,0,F98)</f>
        <v/>
      </c>
      <c r="C99" s="15">
        <f>IF(B99&lt;=0,0,MIN(Assumptions!$B$13,B99+D99))</f>
        <v/>
      </c>
      <c r="D99" s="15">
        <f>IF(B99&lt;=0,0,B99*Assumptions!$B$6/12)</f>
        <v/>
      </c>
      <c r="E99" s="15">
        <f>IF(B99&lt;=0,0,C99-D99)</f>
        <v/>
      </c>
      <c r="F99" s="15">
        <f>IF(B99&lt;=0,0,B99-E99)</f>
        <v/>
      </c>
      <c r="G99" s="15">
        <f>IF(B99&lt;=0,G98,G98+D99)</f>
        <v/>
      </c>
    </row>
    <row r="100">
      <c r="A100" t="n">
        <v>97</v>
      </c>
      <c r="B100" s="15">
        <f>IF(F99&lt;=0,0,F99)</f>
        <v/>
      </c>
      <c r="C100" s="15">
        <f>IF(B100&lt;=0,0,MIN(Assumptions!$B$13,B100+D100))</f>
        <v/>
      </c>
      <c r="D100" s="15">
        <f>IF(B100&lt;=0,0,B100*Assumptions!$B$6/12)</f>
        <v/>
      </c>
      <c r="E100" s="15">
        <f>IF(B100&lt;=0,0,C100-D100)</f>
        <v/>
      </c>
      <c r="F100" s="15">
        <f>IF(B100&lt;=0,0,B100-E100)</f>
        <v/>
      </c>
      <c r="G100" s="15">
        <f>IF(B100&lt;=0,G99,G99+D100)</f>
        <v/>
      </c>
    </row>
    <row r="101">
      <c r="A101" t="n">
        <v>98</v>
      </c>
      <c r="B101" s="15">
        <f>IF(F100&lt;=0,0,F100)</f>
        <v/>
      </c>
      <c r="C101" s="15">
        <f>IF(B101&lt;=0,0,MIN(Assumptions!$B$13,B101+D101))</f>
        <v/>
      </c>
      <c r="D101" s="15">
        <f>IF(B101&lt;=0,0,B101*Assumptions!$B$6/12)</f>
        <v/>
      </c>
      <c r="E101" s="15">
        <f>IF(B101&lt;=0,0,C101-D101)</f>
        <v/>
      </c>
      <c r="F101" s="15">
        <f>IF(B101&lt;=0,0,B101-E101)</f>
        <v/>
      </c>
      <c r="G101" s="15">
        <f>IF(B101&lt;=0,G100,G100+D101)</f>
        <v/>
      </c>
    </row>
    <row r="102">
      <c r="A102" t="n">
        <v>99</v>
      </c>
      <c r="B102" s="15">
        <f>IF(F101&lt;=0,0,F101)</f>
        <v/>
      </c>
      <c r="C102" s="15">
        <f>IF(B102&lt;=0,0,MIN(Assumptions!$B$13,B102+D102))</f>
        <v/>
      </c>
      <c r="D102" s="15">
        <f>IF(B102&lt;=0,0,B102*Assumptions!$B$6/12)</f>
        <v/>
      </c>
      <c r="E102" s="15">
        <f>IF(B102&lt;=0,0,C102-D102)</f>
        <v/>
      </c>
      <c r="F102" s="15">
        <f>IF(B102&lt;=0,0,B102-E102)</f>
        <v/>
      </c>
      <c r="G102" s="15">
        <f>IF(B102&lt;=0,G101,G101+D102)</f>
        <v/>
      </c>
    </row>
    <row r="103">
      <c r="A103" t="n">
        <v>100</v>
      </c>
      <c r="B103" s="15">
        <f>IF(F102&lt;=0,0,F102)</f>
        <v/>
      </c>
      <c r="C103" s="15">
        <f>IF(B103&lt;=0,0,MIN(Assumptions!$B$13,B103+D103))</f>
        <v/>
      </c>
      <c r="D103" s="15">
        <f>IF(B103&lt;=0,0,B103*Assumptions!$B$6/12)</f>
        <v/>
      </c>
      <c r="E103" s="15">
        <f>IF(B103&lt;=0,0,C103-D103)</f>
        <v/>
      </c>
      <c r="F103" s="15">
        <f>IF(B103&lt;=0,0,B103-E103)</f>
        <v/>
      </c>
      <c r="G103" s="15">
        <f>IF(B103&lt;=0,G102,G102+D103)</f>
        <v/>
      </c>
    </row>
    <row r="104">
      <c r="A104" t="n">
        <v>101</v>
      </c>
      <c r="B104" s="15">
        <f>IF(F103&lt;=0,0,F103)</f>
        <v/>
      </c>
      <c r="C104" s="15">
        <f>IF(B104&lt;=0,0,MIN(Assumptions!$B$13,B104+D104))</f>
        <v/>
      </c>
      <c r="D104" s="15">
        <f>IF(B104&lt;=0,0,B104*Assumptions!$B$6/12)</f>
        <v/>
      </c>
      <c r="E104" s="15">
        <f>IF(B104&lt;=0,0,C104-D104)</f>
        <v/>
      </c>
      <c r="F104" s="15">
        <f>IF(B104&lt;=0,0,B104-E104)</f>
        <v/>
      </c>
      <c r="G104" s="15">
        <f>IF(B104&lt;=0,G103,G103+D104)</f>
        <v/>
      </c>
    </row>
    <row r="105">
      <c r="A105" t="n">
        <v>102</v>
      </c>
      <c r="B105" s="15">
        <f>IF(F104&lt;=0,0,F104)</f>
        <v/>
      </c>
      <c r="C105" s="15">
        <f>IF(B105&lt;=0,0,MIN(Assumptions!$B$13,B105+D105))</f>
        <v/>
      </c>
      <c r="D105" s="15">
        <f>IF(B105&lt;=0,0,B105*Assumptions!$B$6/12)</f>
        <v/>
      </c>
      <c r="E105" s="15">
        <f>IF(B105&lt;=0,0,C105-D105)</f>
        <v/>
      </c>
      <c r="F105" s="15">
        <f>IF(B105&lt;=0,0,B105-E105)</f>
        <v/>
      </c>
      <c r="G105" s="15">
        <f>IF(B105&lt;=0,G104,G104+D105)</f>
        <v/>
      </c>
    </row>
    <row r="106">
      <c r="A106" t="n">
        <v>103</v>
      </c>
      <c r="B106" s="15">
        <f>IF(F105&lt;=0,0,F105)</f>
        <v/>
      </c>
      <c r="C106" s="15">
        <f>IF(B106&lt;=0,0,MIN(Assumptions!$B$13,B106+D106))</f>
        <v/>
      </c>
      <c r="D106" s="15">
        <f>IF(B106&lt;=0,0,B106*Assumptions!$B$6/12)</f>
        <v/>
      </c>
      <c r="E106" s="15">
        <f>IF(B106&lt;=0,0,C106-D106)</f>
        <v/>
      </c>
      <c r="F106" s="15">
        <f>IF(B106&lt;=0,0,B106-E106)</f>
        <v/>
      </c>
      <c r="G106" s="15">
        <f>IF(B106&lt;=0,G105,G105+D106)</f>
        <v/>
      </c>
    </row>
    <row r="107">
      <c r="A107" t="n">
        <v>104</v>
      </c>
      <c r="B107" s="15">
        <f>IF(F106&lt;=0,0,F106)</f>
        <v/>
      </c>
      <c r="C107" s="15">
        <f>IF(B107&lt;=0,0,MIN(Assumptions!$B$13,B107+D107))</f>
        <v/>
      </c>
      <c r="D107" s="15">
        <f>IF(B107&lt;=0,0,B107*Assumptions!$B$6/12)</f>
        <v/>
      </c>
      <c r="E107" s="15">
        <f>IF(B107&lt;=0,0,C107-D107)</f>
        <v/>
      </c>
      <c r="F107" s="15">
        <f>IF(B107&lt;=0,0,B107-E107)</f>
        <v/>
      </c>
      <c r="G107" s="15">
        <f>IF(B107&lt;=0,G106,G106+D107)</f>
        <v/>
      </c>
    </row>
    <row r="108">
      <c r="A108" t="n">
        <v>105</v>
      </c>
      <c r="B108" s="15">
        <f>IF(F107&lt;=0,0,F107)</f>
        <v/>
      </c>
      <c r="C108" s="15">
        <f>IF(B108&lt;=0,0,MIN(Assumptions!$B$13,B108+D108))</f>
        <v/>
      </c>
      <c r="D108" s="15">
        <f>IF(B108&lt;=0,0,B108*Assumptions!$B$6/12)</f>
        <v/>
      </c>
      <c r="E108" s="15">
        <f>IF(B108&lt;=0,0,C108-D108)</f>
        <v/>
      </c>
      <c r="F108" s="15">
        <f>IF(B108&lt;=0,0,B108-E108)</f>
        <v/>
      </c>
      <c r="G108" s="15">
        <f>IF(B108&lt;=0,G107,G107+D108)</f>
        <v/>
      </c>
    </row>
    <row r="109">
      <c r="A109" t="n">
        <v>106</v>
      </c>
      <c r="B109" s="15">
        <f>IF(F108&lt;=0,0,F108)</f>
        <v/>
      </c>
      <c r="C109" s="15">
        <f>IF(B109&lt;=0,0,MIN(Assumptions!$B$13,B109+D109))</f>
        <v/>
      </c>
      <c r="D109" s="15">
        <f>IF(B109&lt;=0,0,B109*Assumptions!$B$6/12)</f>
        <v/>
      </c>
      <c r="E109" s="15">
        <f>IF(B109&lt;=0,0,C109-D109)</f>
        <v/>
      </c>
      <c r="F109" s="15">
        <f>IF(B109&lt;=0,0,B109-E109)</f>
        <v/>
      </c>
      <c r="G109" s="15">
        <f>IF(B109&lt;=0,G108,G108+D109)</f>
        <v/>
      </c>
    </row>
    <row r="110">
      <c r="A110" t="n">
        <v>107</v>
      </c>
      <c r="B110" s="15">
        <f>IF(F109&lt;=0,0,F109)</f>
        <v/>
      </c>
      <c r="C110" s="15">
        <f>IF(B110&lt;=0,0,MIN(Assumptions!$B$13,B110+D110))</f>
        <v/>
      </c>
      <c r="D110" s="15">
        <f>IF(B110&lt;=0,0,B110*Assumptions!$B$6/12)</f>
        <v/>
      </c>
      <c r="E110" s="15">
        <f>IF(B110&lt;=0,0,C110-D110)</f>
        <v/>
      </c>
      <c r="F110" s="15">
        <f>IF(B110&lt;=0,0,B110-E110)</f>
        <v/>
      </c>
      <c r="G110" s="15">
        <f>IF(B110&lt;=0,G109,G109+D110)</f>
        <v/>
      </c>
    </row>
    <row r="111">
      <c r="A111" t="n">
        <v>108</v>
      </c>
      <c r="B111" s="15">
        <f>IF(F110&lt;=0,0,F110)</f>
        <v/>
      </c>
      <c r="C111" s="15">
        <f>IF(B111&lt;=0,0,MIN(Assumptions!$B$13,B111+D111))</f>
        <v/>
      </c>
      <c r="D111" s="15">
        <f>IF(B111&lt;=0,0,B111*Assumptions!$B$6/12)</f>
        <v/>
      </c>
      <c r="E111" s="15">
        <f>IF(B111&lt;=0,0,C111-D111)</f>
        <v/>
      </c>
      <c r="F111" s="15">
        <f>IF(B111&lt;=0,0,B111-E111)</f>
        <v/>
      </c>
      <c r="G111" s="15">
        <f>IF(B111&lt;=0,G110,G110+D111)</f>
        <v/>
      </c>
    </row>
    <row r="112">
      <c r="A112" t="n">
        <v>109</v>
      </c>
      <c r="B112" s="15">
        <f>IF(F111&lt;=0,0,F111)</f>
        <v/>
      </c>
      <c r="C112" s="15">
        <f>IF(B112&lt;=0,0,MIN(Assumptions!$B$13,B112+D112))</f>
        <v/>
      </c>
      <c r="D112" s="15">
        <f>IF(B112&lt;=0,0,B112*Assumptions!$B$6/12)</f>
        <v/>
      </c>
      <c r="E112" s="15">
        <f>IF(B112&lt;=0,0,C112-D112)</f>
        <v/>
      </c>
      <c r="F112" s="15">
        <f>IF(B112&lt;=0,0,B112-E112)</f>
        <v/>
      </c>
      <c r="G112" s="15">
        <f>IF(B112&lt;=0,G111,G111+D112)</f>
        <v/>
      </c>
    </row>
    <row r="113">
      <c r="A113" t="n">
        <v>110</v>
      </c>
      <c r="B113" s="15">
        <f>IF(F112&lt;=0,0,F112)</f>
        <v/>
      </c>
      <c r="C113" s="15">
        <f>IF(B113&lt;=0,0,MIN(Assumptions!$B$13,B113+D113))</f>
        <v/>
      </c>
      <c r="D113" s="15">
        <f>IF(B113&lt;=0,0,B113*Assumptions!$B$6/12)</f>
        <v/>
      </c>
      <c r="E113" s="15">
        <f>IF(B113&lt;=0,0,C113-D113)</f>
        <v/>
      </c>
      <c r="F113" s="15">
        <f>IF(B113&lt;=0,0,B113-E113)</f>
        <v/>
      </c>
      <c r="G113" s="15">
        <f>IF(B113&lt;=0,G112,G112+D113)</f>
        <v/>
      </c>
    </row>
    <row r="114">
      <c r="A114" t="n">
        <v>111</v>
      </c>
      <c r="B114" s="15">
        <f>IF(F113&lt;=0,0,F113)</f>
        <v/>
      </c>
      <c r="C114" s="15">
        <f>IF(B114&lt;=0,0,MIN(Assumptions!$B$13,B114+D114))</f>
        <v/>
      </c>
      <c r="D114" s="15">
        <f>IF(B114&lt;=0,0,B114*Assumptions!$B$6/12)</f>
        <v/>
      </c>
      <c r="E114" s="15">
        <f>IF(B114&lt;=0,0,C114-D114)</f>
        <v/>
      </c>
      <c r="F114" s="15">
        <f>IF(B114&lt;=0,0,B114-E114)</f>
        <v/>
      </c>
      <c r="G114" s="15">
        <f>IF(B114&lt;=0,G113,G113+D114)</f>
        <v/>
      </c>
    </row>
    <row r="115">
      <c r="A115" t="n">
        <v>112</v>
      </c>
      <c r="B115" s="15">
        <f>IF(F114&lt;=0,0,F114)</f>
        <v/>
      </c>
      <c r="C115" s="15">
        <f>IF(B115&lt;=0,0,MIN(Assumptions!$B$13,B115+D115))</f>
        <v/>
      </c>
      <c r="D115" s="15">
        <f>IF(B115&lt;=0,0,B115*Assumptions!$B$6/12)</f>
        <v/>
      </c>
      <c r="E115" s="15">
        <f>IF(B115&lt;=0,0,C115-D115)</f>
        <v/>
      </c>
      <c r="F115" s="15">
        <f>IF(B115&lt;=0,0,B115-E115)</f>
        <v/>
      </c>
      <c r="G115" s="15">
        <f>IF(B115&lt;=0,G114,G114+D115)</f>
        <v/>
      </c>
    </row>
    <row r="116">
      <c r="A116" t="n">
        <v>113</v>
      </c>
      <c r="B116" s="15">
        <f>IF(F115&lt;=0,0,F115)</f>
        <v/>
      </c>
      <c r="C116" s="15">
        <f>IF(B116&lt;=0,0,MIN(Assumptions!$B$13,B116+D116))</f>
        <v/>
      </c>
      <c r="D116" s="15">
        <f>IF(B116&lt;=0,0,B116*Assumptions!$B$6/12)</f>
        <v/>
      </c>
      <c r="E116" s="15">
        <f>IF(B116&lt;=0,0,C116-D116)</f>
        <v/>
      </c>
      <c r="F116" s="15">
        <f>IF(B116&lt;=0,0,B116-E116)</f>
        <v/>
      </c>
      <c r="G116" s="15">
        <f>IF(B116&lt;=0,G115,G115+D116)</f>
        <v/>
      </c>
    </row>
    <row r="117">
      <c r="A117" t="n">
        <v>114</v>
      </c>
      <c r="B117" s="15">
        <f>IF(F116&lt;=0,0,F116)</f>
        <v/>
      </c>
      <c r="C117" s="15">
        <f>IF(B117&lt;=0,0,MIN(Assumptions!$B$13,B117+D117))</f>
        <v/>
      </c>
      <c r="D117" s="15">
        <f>IF(B117&lt;=0,0,B117*Assumptions!$B$6/12)</f>
        <v/>
      </c>
      <c r="E117" s="15">
        <f>IF(B117&lt;=0,0,C117-D117)</f>
        <v/>
      </c>
      <c r="F117" s="15">
        <f>IF(B117&lt;=0,0,B117-E117)</f>
        <v/>
      </c>
      <c r="G117" s="15">
        <f>IF(B117&lt;=0,G116,G116+D117)</f>
        <v/>
      </c>
    </row>
    <row r="118">
      <c r="A118" t="n">
        <v>115</v>
      </c>
      <c r="B118" s="15">
        <f>IF(F117&lt;=0,0,F117)</f>
        <v/>
      </c>
      <c r="C118" s="15">
        <f>IF(B118&lt;=0,0,MIN(Assumptions!$B$13,B118+D118))</f>
        <v/>
      </c>
      <c r="D118" s="15">
        <f>IF(B118&lt;=0,0,B118*Assumptions!$B$6/12)</f>
        <v/>
      </c>
      <c r="E118" s="15">
        <f>IF(B118&lt;=0,0,C118-D118)</f>
        <v/>
      </c>
      <c r="F118" s="15">
        <f>IF(B118&lt;=0,0,B118-E118)</f>
        <v/>
      </c>
      <c r="G118" s="15">
        <f>IF(B118&lt;=0,G117,G117+D118)</f>
        <v/>
      </c>
    </row>
    <row r="119">
      <c r="A119" t="n">
        <v>116</v>
      </c>
      <c r="B119" s="15">
        <f>IF(F118&lt;=0,0,F118)</f>
        <v/>
      </c>
      <c r="C119" s="15">
        <f>IF(B119&lt;=0,0,MIN(Assumptions!$B$13,B119+D119))</f>
        <v/>
      </c>
      <c r="D119" s="15">
        <f>IF(B119&lt;=0,0,B119*Assumptions!$B$6/12)</f>
        <v/>
      </c>
      <c r="E119" s="15">
        <f>IF(B119&lt;=0,0,C119-D119)</f>
        <v/>
      </c>
      <c r="F119" s="15">
        <f>IF(B119&lt;=0,0,B119-E119)</f>
        <v/>
      </c>
      <c r="G119" s="15">
        <f>IF(B119&lt;=0,G118,G118+D119)</f>
        <v/>
      </c>
    </row>
    <row r="120">
      <c r="A120" t="n">
        <v>117</v>
      </c>
      <c r="B120" s="15">
        <f>IF(F119&lt;=0,0,F119)</f>
        <v/>
      </c>
      <c r="C120" s="15">
        <f>IF(B120&lt;=0,0,MIN(Assumptions!$B$13,B120+D120))</f>
        <v/>
      </c>
      <c r="D120" s="15">
        <f>IF(B120&lt;=0,0,B120*Assumptions!$B$6/12)</f>
        <v/>
      </c>
      <c r="E120" s="15">
        <f>IF(B120&lt;=0,0,C120-D120)</f>
        <v/>
      </c>
      <c r="F120" s="15">
        <f>IF(B120&lt;=0,0,B120-E120)</f>
        <v/>
      </c>
      <c r="G120" s="15">
        <f>IF(B120&lt;=0,G119,G119+D120)</f>
        <v/>
      </c>
    </row>
    <row r="121">
      <c r="A121" t="n">
        <v>118</v>
      </c>
      <c r="B121" s="15">
        <f>IF(F120&lt;=0,0,F120)</f>
        <v/>
      </c>
      <c r="C121" s="15">
        <f>IF(B121&lt;=0,0,MIN(Assumptions!$B$13,B121+D121))</f>
        <v/>
      </c>
      <c r="D121" s="15">
        <f>IF(B121&lt;=0,0,B121*Assumptions!$B$6/12)</f>
        <v/>
      </c>
      <c r="E121" s="15">
        <f>IF(B121&lt;=0,0,C121-D121)</f>
        <v/>
      </c>
      <c r="F121" s="15">
        <f>IF(B121&lt;=0,0,B121-E121)</f>
        <v/>
      </c>
      <c r="G121" s="15">
        <f>IF(B121&lt;=0,G120,G120+D121)</f>
        <v/>
      </c>
    </row>
    <row r="122">
      <c r="A122" t="n">
        <v>119</v>
      </c>
      <c r="B122" s="15">
        <f>IF(F121&lt;=0,0,F121)</f>
        <v/>
      </c>
      <c r="C122" s="15">
        <f>IF(B122&lt;=0,0,MIN(Assumptions!$B$13,B122+D122))</f>
        <v/>
      </c>
      <c r="D122" s="15">
        <f>IF(B122&lt;=0,0,B122*Assumptions!$B$6/12)</f>
        <v/>
      </c>
      <c r="E122" s="15">
        <f>IF(B122&lt;=0,0,C122-D122)</f>
        <v/>
      </c>
      <c r="F122" s="15">
        <f>IF(B122&lt;=0,0,B122-E122)</f>
        <v/>
      </c>
      <c r="G122" s="15">
        <f>IF(B122&lt;=0,G121,G121+D122)</f>
        <v/>
      </c>
    </row>
    <row r="123">
      <c r="A123" t="n">
        <v>120</v>
      </c>
      <c r="B123" s="15">
        <f>IF(F122&lt;=0,0,F122)</f>
        <v/>
      </c>
      <c r="C123" s="15">
        <f>IF(B123&lt;=0,0,MIN(Assumptions!$B$13,B123+D123))</f>
        <v/>
      </c>
      <c r="D123" s="15">
        <f>IF(B123&lt;=0,0,B123*Assumptions!$B$6/12)</f>
        <v/>
      </c>
      <c r="E123" s="15">
        <f>IF(B123&lt;=0,0,C123-D123)</f>
        <v/>
      </c>
      <c r="F123" s="15">
        <f>IF(B123&lt;=0,0,B123-E123)</f>
        <v/>
      </c>
      <c r="G123" s="15">
        <f>IF(B123&lt;=0,G122,G122+D123)</f>
        <v/>
      </c>
    </row>
    <row r="124">
      <c r="A124" t="n">
        <v>121</v>
      </c>
      <c r="B124" s="15">
        <f>IF(F123&lt;=0,0,F123)</f>
        <v/>
      </c>
      <c r="C124" s="15">
        <f>IF(B124&lt;=0,0,MIN(Assumptions!$B$13,B124+D124))</f>
        <v/>
      </c>
      <c r="D124" s="15">
        <f>IF(B124&lt;=0,0,B124*Assumptions!$B$6/12)</f>
        <v/>
      </c>
      <c r="E124" s="15">
        <f>IF(B124&lt;=0,0,C124-D124)</f>
        <v/>
      </c>
      <c r="F124" s="15">
        <f>IF(B124&lt;=0,0,B124-E124)</f>
        <v/>
      </c>
      <c r="G124" s="15">
        <f>IF(B124&lt;=0,G123,G123+D124)</f>
        <v/>
      </c>
    </row>
    <row r="125">
      <c r="A125" t="n">
        <v>122</v>
      </c>
      <c r="B125" s="15">
        <f>IF(F124&lt;=0,0,F124)</f>
        <v/>
      </c>
      <c r="C125" s="15">
        <f>IF(B125&lt;=0,0,MIN(Assumptions!$B$13,B125+D125))</f>
        <v/>
      </c>
      <c r="D125" s="15">
        <f>IF(B125&lt;=0,0,B125*Assumptions!$B$6/12)</f>
        <v/>
      </c>
      <c r="E125" s="15">
        <f>IF(B125&lt;=0,0,C125-D125)</f>
        <v/>
      </c>
      <c r="F125" s="15">
        <f>IF(B125&lt;=0,0,B125-E125)</f>
        <v/>
      </c>
      <c r="G125" s="15">
        <f>IF(B125&lt;=0,G124,G124+D125)</f>
        <v/>
      </c>
    </row>
    <row r="126">
      <c r="A126" t="n">
        <v>123</v>
      </c>
      <c r="B126" s="15">
        <f>IF(F125&lt;=0,0,F125)</f>
        <v/>
      </c>
      <c r="C126" s="15">
        <f>IF(B126&lt;=0,0,MIN(Assumptions!$B$13,B126+D126))</f>
        <v/>
      </c>
      <c r="D126" s="15">
        <f>IF(B126&lt;=0,0,B126*Assumptions!$B$6/12)</f>
        <v/>
      </c>
      <c r="E126" s="15">
        <f>IF(B126&lt;=0,0,C126-D126)</f>
        <v/>
      </c>
      <c r="F126" s="15">
        <f>IF(B126&lt;=0,0,B126-E126)</f>
        <v/>
      </c>
      <c r="G126" s="15">
        <f>IF(B126&lt;=0,G125,G125+D126)</f>
        <v/>
      </c>
    </row>
    <row r="127">
      <c r="A127" t="n">
        <v>124</v>
      </c>
      <c r="B127" s="15">
        <f>IF(F126&lt;=0,0,F126)</f>
        <v/>
      </c>
      <c r="C127" s="15">
        <f>IF(B127&lt;=0,0,MIN(Assumptions!$B$13,B127+D127))</f>
        <v/>
      </c>
      <c r="D127" s="15">
        <f>IF(B127&lt;=0,0,B127*Assumptions!$B$6/12)</f>
        <v/>
      </c>
      <c r="E127" s="15">
        <f>IF(B127&lt;=0,0,C127-D127)</f>
        <v/>
      </c>
      <c r="F127" s="15">
        <f>IF(B127&lt;=0,0,B127-E127)</f>
        <v/>
      </c>
      <c r="G127" s="15">
        <f>IF(B127&lt;=0,G126,G126+D127)</f>
        <v/>
      </c>
    </row>
    <row r="128">
      <c r="A128" t="n">
        <v>125</v>
      </c>
      <c r="B128" s="15">
        <f>IF(F127&lt;=0,0,F127)</f>
        <v/>
      </c>
      <c r="C128" s="15">
        <f>IF(B128&lt;=0,0,MIN(Assumptions!$B$13,B128+D128))</f>
        <v/>
      </c>
      <c r="D128" s="15">
        <f>IF(B128&lt;=0,0,B128*Assumptions!$B$6/12)</f>
        <v/>
      </c>
      <c r="E128" s="15">
        <f>IF(B128&lt;=0,0,C128-D128)</f>
        <v/>
      </c>
      <c r="F128" s="15">
        <f>IF(B128&lt;=0,0,B128-E128)</f>
        <v/>
      </c>
      <c r="G128" s="15">
        <f>IF(B128&lt;=0,G127,G127+D128)</f>
        <v/>
      </c>
    </row>
    <row r="129">
      <c r="A129" t="n">
        <v>126</v>
      </c>
      <c r="B129" s="15">
        <f>IF(F128&lt;=0,0,F128)</f>
        <v/>
      </c>
      <c r="C129" s="15">
        <f>IF(B129&lt;=0,0,MIN(Assumptions!$B$13,B129+D129))</f>
        <v/>
      </c>
      <c r="D129" s="15">
        <f>IF(B129&lt;=0,0,B129*Assumptions!$B$6/12)</f>
        <v/>
      </c>
      <c r="E129" s="15">
        <f>IF(B129&lt;=0,0,C129-D129)</f>
        <v/>
      </c>
      <c r="F129" s="15">
        <f>IF(B129&lt;=0,0,B129-E129)</f>
        <v/>
      </c>
      <c r="G129" s="15">
        <f>IF(B129&lt;=0,G128,G128+D129)</f>
        <v/>
      </c>
    </row>
    <row r="130">
      <c r="A130" t="n">
        <v>127</v>
      </c>
      <c r="B130" s="15">
        <f>IF(F129&lt;=0,0,F129)</f>
        <v/>
      </c>
      <c r="C130" s="15">
        <f>IF(B130&lt;=0,0,MIN(Assumptions!$B$13,B130+D130))</f>
        <v/>
      </c>
      <c r="D130" s="15">
        <f>IF(B130&lt;=0,0,B130*Assumptions!$B$6/12)</f>
        <v/>
      </c>
      <c r="E130" s="15">
        <f>IF(B130&lt;=0,0,C130-D130)</f>
        <v/>
      </c>
      <c r="F130" s="15">
        <f>IF(B130&lt;=0,0,B130-E130)</f>
        <v/>
      </c>
      <c r="G130" s="15">
        <f>IF(B130&lt;=0,G129,G129+D130)</f>
        <v/>
      </c>
    </row>
    <row r="131">
      <c r="A131" t="n">
        <v>128</v>
      </c>
      <c r="B131" s="15">
        <f>IF(F130&lt;=0,0,F130)</f>
        <v/>
      </c>
      <c r="C131" s="15">
        <f>IF(B131&lt;=0,0,MIN(Assumptions!$B$13,B131+D131))</f>
        <v/>
      </c>
      <c r="D131" s="15">
        <f>IF(B131&lt;=0,0,B131*Assumptions!$B$6/12)</f>
        <v/>
      </c>
      <c r="E131" s="15">
        <f>IF(B131&lt;=0,0,C131-D131)</f>
        <v/>
      </c>
      <c r="F131" s="15">
        <f>IF(B131&lt;=0,0,B131-E131)</f>
        <v/>
      </c>
      <c r="G131" s="15">
        <f>IF(B131&lt;=0,G130,G130+D131)</f>
        <v/>
      </c>
    </row>
    <row r="132">
      <c r="A132" t="n">
        <v>129</v>
      </c>
      <c r="B132" s="15">
        <f>IF(F131&lt;=0,0,F131)</f>
        <v/>
      </c>
      <c r="C132" s="15">
        <f>IF(B132&lt;=0,0,MIN(Assumptions!$B$13,B132+D132))</f>
        <v/>
      </c>
      <c r="D132" s="15">
        <f>IF(B132&lt;=0,0,B132*Assumptions!$B$6/12)</f>
        <v/>
      </c>
      <c r="E132" s="15">
        <f>IF(B132&lt;=0,0,C132-D132)</f>
        <v/>
      </c>
      <c r="F132" s="15">
        <f>IF(B132&lt;=0,0,B132-E132)</f>
        <v/>
      </c>
      <c r="G132" s="15">
        <f>IF(B132&lt;=0,G131,G131+D132)</f>
        <v/>
      </c>
    </row>
    <row r="133">
      <c r="A133" t="n">
        <v>130</v>
      </c>
      <c r="B133" s="15">
        <f>IF(F132&lt;=0,0,F132)</f>
        <v/>
      </c>
      <c r="C133" s="15">
        <f>IF(B133&lt;=0,0,MIN(Assumptions!$B$13,B133+D133))</f>
        <v/>
      </c>
      <c r="D133" s="15">
        <f>IF(B133&lt;=0,0,B133*Assumptions!$B$6/12)</f>
        <v/>
      </c>
      <c r="E133" s="15">
        <f>IF(B133&lt;=0,0,C133-D133)</f>
        <v/>
      </c>
      <c r="F133" s="15">
        <f>IF(B133&lt;=0,0,B133-E133)</f>
        <v/>
      </c>
      <c r="G133" s="15">
        <f>IF(B133&lt;=0,G132,G132+D133)</f>
        <v/>
      </c>
    </row>
    <row r="134">
      <c r="A134" t="n">
        <v>131</v>
      </c>
      <c r="B134" s="15">
        <f>IF(F133&lt;=0,0,F133)</f>
        <v/>
      </c>
      <c r="C134" s="15">
        <f>IF(B134&lt;=0,0,MIN(Assumptions!$B$13,B134+D134))</f>
        <v/>
      </c>
      <c r="D134" s="15">
        <f>IF(B134&lt;=0,0,B134*Assumptions!$B$6/12)</f>
        <v/>
      </c>
      <c r="E134" s="15">
        <f>IF(B134&lt;=0,0,C134-D134)</f>
        <v/>
      </c>
      <c r="F134" s="15">
        <f>IF(B134&lt;=0,0,B134-E134)</f>
        <v/>
      </c>
      <c r="G134" s="15">
        <f>IF(B134&lt;=0,G133,G133+D134)</f>
        <v/>
      </c>
    </row>
    <row r="135">
      <c r="A135" t="n">
        <v>132</v>
      </c>
      <c r="B135" s="15">
        <f>IF(F134&lt;=0,0,F134)</f>
        <v/>
      </c>
      <c r="C135" s="15">
        <f>IF(B135&lt;=0,0,MIN(Assumptions!$B$13,B135+D135))</f>
        <v/>
      </c>
      <c r="D135" s="15">
        <f>IF(B135&lt;=0,0,B135*Assumptions!$B$6/12)</f>
        <v/>
      </c>
      <c r="E135" s="15">
        <f>IF(B135&lt;=0,0,C135-D135)</f>
        <v/>
      </c>
      <c r="F135" s="15">
        <f>IF(B135&lt;=0,0,B135-E135)</f>
        <v/>
      </c>
      <c r="G135" s="15">
        <f>IF(B135&lt;=0,G134,G134+D135)</f>
        <v/>
      </c>
    </row>
    <row r="136">
      <c r="A136" t="n">
        <v>133</v>
      </c>
      <c r="B136" s="15">
        <f>IF(F135&lt;=0,0,F135)</f>
        <v/>
      </c>
      <c r="C136" s="15">
        <f>IF(B136&lt;=0,0,MIN(Assumptions!$B$13,B136+D136))</f>
        <v/>
      </c>
      <c r="D136" s="15">
        <f>IF(B136&lt;=0,0,B136*Assumptions!$B$6/12)</f>
        <v/>
      </c>
      <c r="E136" s="15">
        <f>IF(B136&lt;=0,0,C136-D136)</f>
        <v/>
      </c>
      <c r="F136" s="15">
        <f>IF(B136&lt;=0,0,B136-E136)</f>
        <v/>
      </c>
      <c r="G136" s="15">
        <f>IF(B136&lt;=0,G135,G135+D136)</f>
        <v/>
      </c>
    </row>
    <row r="137">
      <c r="A137" t="n">
        <v>134</v>
      </c>
      <c r="B137" s="15">
        <f>IF(F136&lt;=0,0,F136)</f>
        <v/>
      </c>
      <c r="C137" s="15">
        <f>IF(B137&lt;=0,0,MIN(Assumptions!$B$13,B137+D137))</f>
        <v/>
      </c>
      <c r="D137" s="15">
        <f>IF(B137&lt;=0,0,B137*Assumptions!$B$6/12)</f>
        <v/>
      </c>
      <c r="E137" s="15">
        <f>IF(B137&lt;=0,0,C137-D137)</f>
        <v/>
      </c>
      <c r="F137" s="15">
        <f>IF(B137&lt;=0,0,B137-E137)</f>
        <v/>
      </c>
      <c r="G137" s="15">
        <f>IF(B137&lt;=0,G136,G136+D137)</f>
        <v/>
      </c>
    </row>
    <row r="138">
      <c r="A138" t="n">
        <v>135</v>
      </c>
      <c r="B138" s="15">
        <f>IF(F137&lt;=0,0,F137)</f>
        <v/>
      </c>
      <c r="C138" s="15">
        <f>IF(B138&lt;=0,0,MIN(Assumptions!$B$13,B138+D138))</f>
        <v/>
      </c>
      <c r="D138" s="15">
        <f>IF(B138&lt;=0,0,B138*Assumptions!$B$6/12)</f>
        <v/>
      </c>
      <c r="E138" s="15">
        <f>IF(B138&lt;=0,0,C138-D138)</f>
        <v/>
      </c>
      <c r="F138" s="15">
        <f>IF(B138&lt;=0,0,B138-E138)</f>
        <v/>
      </c>
      <c r="G138" s="15">
        <f>IF(B138&lt;=0,G137,G137+D138)</f>
        <v/>
      </c>
    </row>
    <row r="139">
      <c r="A139" t="n">
        <v>136</v>
      </c>
      <c r="B139" s="15">
        <f>IF(F138&lt;=0,0,F138)</f>
        <v/>
      </c>
      <c r="C139" s="15">
        <f>IF(B139&lt;=0,0,MIN(Assumptions!$B$13,B139+D139))</f>
        <v/>
      </c>
      <c r="D139" s="15">
        <f>IF(B139&lt;=0,0,B139*Assumptions!$B$6/12)</f>
        <v/>
      </c>
      <c r="E139" s="15">
        <f>IF(B139&lt;=0,0,C139-D139)</f>
        <v/>
      </c>
      <c r="F139" s="15">
        <f>IF(B139&lt;=0,0,B139-E139)</f>
        <v/>
      </c>
      <c r="G139" s="15">
        <f>IF(B139&lt;=0,G138,G138+D139)</f>
        <v/>
      </c>
    </row>
    <row r="140">
      <c r="A140" t="n">
        <v>137</v>
      </c>
      <c r="B140" s="15">
        <f>IF(F139&lt;=0,0,F139)</f>
        <v/>
      </c>
      <c r="C140" s="15">
        <f>IF(B140&lt;=0,0,MIN(Assumptions!$B$13,B140+D140))</f>
        <v/>
      </c>
      <c r="D140" s="15">
        <f>IF(B140&lt;=0,0,B140*Assumptions!$B$6/12)</f>
        <v/>
      </c>
      <c r="E140" s="15">
        <f>IF(B140&lt;=0,0,C140-D140)</f>
        <v/>
      </c>
      <c r="F140" s="15">
        <f>IF(B140&lt;=0,0,B140-E140)</f>
        <v/>
      </c>
      <c r="G140" s="15">
        <f>IF(B140&lt;=0,G139,G139+D140)</f>
        <v/>
      </c>
    </row>
    <row r="141">
      <c r="A141" t="n">
        <v>138</v>
      </c>
      <c r="B141" s="15">
        <f>IF(F140&lt;=0,0,F140)</f>
        <v/>
      </c>
      <c r="C141" s="15">
        <f>IF(B141&lt;=0,0,MIN(Assumptions!$B$13,B141+D141))</f>
        <v/>
      </c>
      <c r="D141" s="15">
        <f>IF(B141&lt;=0,0,B141*Assumptions!$B$6/12)</f>
        <v/>
      </c>
      <c r="E141" s="15">
        <f>IF(B141&lt;=0,0,C141-D141)</f>
        <v/>
      </c>
      <c r="F141" s="15">
        <f>IF(B141&lt;=0,0,B141-E141)</f>
        <v/>
      </c>
      <c r="G141" s="15">
        <f>IF(B141&lt;=0,G140,G140+D141)</f>
        <v/>
      </c>
    </row>
    <row r="142">
      <c r="A142" t="n">
        <v>139</v>
      </c>
      <c r="B142" s="15">
        <f>IF(F141&lt;=0,0,F141)</f>
        <v/>
      </c>
      <c r="C142" s="15">
        <f>IF(B142&lt;=0,0,MIN(Assumptions!$B$13,B142+D142))</f>
        <v/>
      </c>
      <c r="D142" s="15">
        <f>IF(B142&lt;=0,0,B142*Assumptions!$B$6/12)</f>
        <v/>
      </c>
      <c r="E142" s="15">
        <f>IF(B142&lt;=0,0,C142-D142)</f>
        <v/>
      </c>
      <c r="F142" s="15">
        <f>IF(B142&lt;=0,0,B142-E142)</f>
        <v/>
      </c>
      <c r="G142" s="15">
        <f>IF(B142&lt;=0,G141,G141+D142)</f>
        <v/>
      </c>
    </row>
    <row r="143">
      <c r="A143" t="n">
        <v>140</v>
      </c>
      <c r="B143" s="15">
        <f>IF(F142&lt;=0,0,F142)</f>
        <v/>
      </c>
      <c r="C143" s="15">
        <f>IF(B143&lt;=0,0,MIN(Assumptions!$B$13,B143+D143))</f>
        <v/>
      </c>
      <c r="D143" s="15">
        <f>IF(B143&lt;=0,0,B143*Assumptions!$B$6/12)</f>
        <v/>
      </c>
      <c r="E143" s="15">
        <f>IF(B143&lt;=0,0,C143-D143)</f>
        <v/>
      </c>
      <c r="F143" s="15">
        <f>IF(B143&lt;=0,0,B143-E143)</f>
        <v/>
      </c>
      <c r="G143" s="15">
        <f>IF(B143&lt;=0,G142,G142+D143)</f>
        <v/>
      </c>
    </row>
    <row r="144">
      <c r="A144" t="n">
        <v>141</v>
      </c>
      <c r="B144" s="15">
        <f>IF(F143&lt;=0,0,F143)</f>
        <v/>
      </c>
      <c r="C144" s="15">
        <f>IF(B144&lt;=0,0,MIN(Assumptions!$B$13,B144+D144))</f>
        <v/>
      </c>
      <c r="D144" s="15">
        <f>IF(B144&lt;=0,0,B144*Assumptions!$B$6/12)</f>
        <v/>
      </c>
      <c r="E144" s="15">
        <f>IF(B144&lt;=0,0,C144-D144)</f>
        <v/>
      </c>
      <c r="F144" s="15">
        <f>IF(B144&lt;=0,0,B144-E144)</f>
        <v/>
      </c>
      <c r="G144" s="15">
        <f>IF(B144&lt;=0,G143,G143+D144)</f>
        <v/>
      </c>
    </row>
    <row r="145">
      <c r="A145" t="n">
        <v>142</v>
      </c>
      <c r="B145" s="15">
        <f>IF(F144&lt;=0,0,F144)</f>
        <v/>
      </c>
      <c r="C145" s="15">
        <f>IF(B145&lt;=0,0,MIN(Assumptions!$B$13,B145+D145))</f>
        <v/>
      </c>
      <c r="D145" s="15">
        <f>IF(B145&lt;=0,0,B145*Assumptions!$B$6/12)</f>
        <v/>
      </c>
      <c r="E145" s="15">
        <f>IF(B145&lt;=0,0,C145-D145)</f>
        <v/>
      </c>
      <c r="F145" s="15">
        <f>IF(B145&lt;=0,0,B145-E145)</f>
        <v/>
      </c>
      <c r="G145" s="15">
        <f>IF(B145&lt;=0,G144,G144+D145)</f>
        <v/>
      </c>
    </row>
    <row r="146">
      <c r="A146" t="n">
        <v>143</v>
      </c>
      <c r="B146" s="15">
        <f>IF(F145&lt;=0,0,F145)</f>
        <v/>
      </c>
      <c r="C146" s="15">
        <f>IF(B146&lt;=0,0,MIN(Assumptions!$B$13,B146+D146))</f>
        <v/>
      </c>
      <c r="D146" s="15">
        <f>IF(B146&lt;=0,0,B146*Assumptions!$B$6/12)</f>
        <v/>
      </c>
      <c r="E146" s="15">
        <f>IF(B146&lt;=0,0,C146-D146)</f>
        <v/>
      </c>
      <c r="F146" s="15">
        <f>IF(B146&lt;=0,0,B146-E146)</f>
        <v/>
      </c>
      <c r="G146" s="15">
        <f>IF(B146&lt;=0,G145,G145+D146)</f>
        <v/>
      </c>
    </row>
    <row r="147">
      <c r="A147" t="n">
        <v>144</v>
      </c>
      <c r="B147" s="15">
        <f>IF(F146&lt;=0,0,F146)</f>
        <v/>
      </c>
      <c r="C147" s="15">
        <f>IF(B147&lt;=0,0,MIN(Assumptions!$B$13,B147+D147))</f>
        <v/>
      </c>
      <c r="D147" s="15">
        <f>IF(B147&lt;=0,0,B147*Assumptions!$B$6/12)</f>
        <v/>
      </c>
      <c r="E147" s="15">
        <f>IF(B147&lt;=0,0,C147-D147)</f>
        <v/>
      </c>
      <c r="F147" s="15">
        <f>IF(B147&lt;=0,0,B147-E147)</f>
        <v/>
      </c>
      <c r="G147" s="15">
        <f>IF(B147&lt;=0,G146,G146+D147)</f>
        <v/>
      </c>
    </row>
    <row r="148">
      <c r="A148" t="n">
        <v>145</v>
      </c>
      <c r="B148" s="15">
        <f>IF(F147&lt;=0,0,F147)</f>
        <v/>
      </c>
      <c r="C148" s="15">
        <f>IF(B148&lt;=0,0,MIN(Assumptions!$B$13,B148+D148))</f>
        <v/>
      </c>
      <c r="D148" s="15">
        <f>IF(B148&lt;=0,0,B148*Assumptions!$B$6/12)</f>
        <v/>
      </c>
      <c r="E148" s="15">
        <f>IF(B148&lt;=0,0,C148-D148)</f>
        <v/>
      </c>
      <c r="F148" s="15">
        <f>IF(B148&lt;=0,0,B148-E148)</f>
        <v/>
      </c>
      <c r="G148" s="15">
        <f>IF(B148&lt;=0,G147,G147+D148)</f>
        <v/>
      </c>
    </row>
    <row r="149">
      <c r="A149" t="n">
        <v>146</v>
      </c>
      <c r="B149" s="15">
        <f>IF(F148&lt;=0,0,F148)</f>
        <v/>
      </c>
      <c r="C149" s="15">
        <f>IF(B149&lt;=0,0,MIN(Assumptions!$B$13,B149+D149))</f>
        <v/>
      </c>
      <c r="D149" s="15">
        <f>IF(B149&lt;=0,0,B149*Assumptions!$B$6/12)</f>
        <v/>
      </c>
      <c r="E149" s="15">
        <f>IF(B149&lt;=0,0,C149-D149)</f>
        <v/>
      </c>
      <c r="F149" s="15">
        <f>IF(B149&lt;=0,0,B149-E149)</f>
        <v/>
      </c>
      <c r="G149" s="15">
        <f>IF(B149&lt;=0,G148,G148+D149)</f>
        <v/>
      </c>
    </row>
    <row r="150">
      <c r="A150" t="n">
        <v>147</v>
      </c>
      <c r="B150" s="15">
        <f>IF(F149&lt;=0,0,F149)</f>
        <v/>
      </c>
      <c r="C150" s="15">
        <f>IF(B150&lt;=0,0,MIN(Assumptions!$B$13,B150+D150))</f>
        <v/>
      </c>
      <c r="D150" s="15">
        <f>IF(B150&lt;=0,0,B150*Assumptions!$B$6/12)</f>
        <v/>
      </c>
      <c r="E150" s="15">
        <f>IF(B150&lt;=0,0,C150-D150)</f>
        <v/>
      </c>
      <c r="F150" s="15">
        <f>IF(B150&lt;=0,0,B150-E150)</f>
        <v/>
      </c>
      <c r="G150" s="15">
        <f>IF(B150&lt;=0,G149,G149+D150)</f>
        <v/>
      </c>
    </row>
    <row r="151">
      <c r="A151" t="n">
        <v>148</v>
      </c>
      <c r="B151" s="15">
        <f>IF(F150&lt;=0,0,F150)</f>
        <v/>
      </c>
      <c r="C151" s="15">
        <f>IF(B151&lt;=0,0,MIN(Assumptions!$B$13,B151+D151))</f>
        <v/>
      </c>
      <c r="D151" s="15">
        <f>IF(B151&lt;=0,0,B151*Assumptions!$B$6/12)</f>
        <v/>
      </c>
      <c r="E151" s="15">
        <f>IF(B151&lt;=0,0,C151-D151)</f>
        <v/>
      </c>
      <c r="F151" s="15">
        <f>IF(B151&lt;=0,0,B151-E151)</f>
        <v/>
      </c>
      <c r="G151" s="15">
        <f>IF(B151&lt;=0,G150,G150+D151)</f>
        <v/>
      </c>
    </row>
    <row r="152">
      <c r="A152" t="n">
        <v>149</v>
      </c>
      <c r="B152" s="15">
        <f>IF(F151&lt;=0,0,F151)</f>
        <v/>
      </c>
      <c r="C152" s="15">
        <f>IF(B152&lt;=0,0,MIN(Assumptions!$B$13,B152+D152))</f>
        <v/>
      </c>
      <c r="D152" s="15">
        <f>IF(B152&lt;=0,0,B152*Assumptions!$B$6/12)</f>
        <v/>
      </c>
      <c r="E152" s="15">
        <f>IF(B152&lt;=0,0,C152-D152)</f>
        <v/>
      </c>
      <c r="F152" s="15">
        <f>IF(B152&lt;=0,0,B152-E152)</f>
        <v/>
      </c>
      <c r="G152" s="15">
        <f>IF(B152&lt;=0,G151,G151+D152)</f>
        <v/>
      </c>
    </row>
    <row r="153">
      <c r="A153" t="n">
        <v>150</v>
      </c>
      <c r="B153" s="15">
        <f>IF(F152&lt;=0,0,F152)</f>
        <v/>
      </c>
      <c r="C153" s="15">
        <f>IF(B153&lt;=0,0,MIN(Assumptions!$B$13,B153+D153))</f>
        <v/>
      </c>
      <c r="D153" s="15">
        <f>IF(B153&lt;=0,0,B153*Assumptions!$B$6/12)</f>
        <v/>
      </c>
      <c r="E153" s="15">
        <f>IF(B153&lt;=0,0,C153-D153)</f>
        <v/>
      </c>
      <c r="F153" s="15">
        <f>IF(B153&lt;=0,0,B153-E153)</f>
        <v/>
      </c>
      <c r="G153" s="15">
        <f>IF(B153&lt;=0,G152,G152+D153)</f>
        <v/>
      </c>
    </row>
    <row r="154">
      <c r="A154" t="n">
        <v>151</v>
      </c>
      <c r="B154" s="15">
        <f>IF(F153&lt;=0,0,F153)</f>
        <v/>
      </c>
      <c r="C154" s="15">
        <f>IF(B154&lt;=0,0,MIN(Assumptions!$B$13,B154+D154))</f>
        <v/>
      </c>
      <c r="D154" s="15">
        <f>IF(B154&lt;=0,0,B154*Assumptions!$B$6/12)</f>
        <v/>
      </c>
      <c r="E154" s="15">
        <f>IF(B154&lt;=0,0,C154-D154)</f>
        <v/>
      </c>
      <c r="F154" s="15">
        <f>IF(B154&lt;=0,0,B154-E154)</f>
        <v/>
      </c>
      <c r="G154" s="15">
        <f>IF(B154&lt;=0,G153,G153+D154)</f>
        <v/>
      </c>
    </row>
    <row r="155">
      <c r="A155" t="n">
        <v>152</v>
      </c>
      <c r="B155" s="15">
        <f>IF(F154&lt;=0,0,F154)</f>
        <v/>
      </c>
      <c r="C155" s="15">
        <f>IF(B155&lt;=0,0,MIN(Assumptions!$B$13,B155+D155))</f>
        <v/>
      </c>
      <c r="D155" s="15">
        <f>IF(B155&lt;=0,0,B155*Assumptions!$B$6/12)</f>
        <v/>
      </c>
      <c r="E155" s="15">
        <f>IF(B155&lt;=0,0,C155-D155)</f>
        <v/>
      </c>
      <c r="F155" s="15">
        <f>IF(B155&lt;=0,0,B155-E155)</f>
        <v/>
      </c>
      <c r="G155" s="15">
        <f>IF(B155&lt;=0,G154,G154+D155)</f>
        <v/>
      </c>
    </row>
    <row r="156">
      <c r="A156" t="n">
        <v>153</v>
      </c>
      <c r="B156" s="15">
        <f>IF(F155&lt;=0,0,F155)</f>
        <v/>
      </c>
      <c r="C156" s="15">
        <f>IF(B156&lt;=0,0,MIN(Assumptions!$B$13,B156+D156))</f>
        <v/>
      </c>
      <c r="D156" s="15">
        <f>IF(B156&lt;=0,0,B156*Assumptions!$B$6/12)</f>
        <v/>
      </c>
      <c r="E156" s="15">
        <f>IF(B156&lt;=0,0,C156-D156)</f>
        <v/>
      </c>
      <c r="F156" s="15">
        <f>IF(B156&lt;=0,0,B156-E156)</f>
        <v/>
      </c>
      <c r="G156" s="15">
        <f>IF(B156&lt;=0,G155,G155+D156)</f>
        <v/>
      </c>
    </row>
    <row r="157">
      <c r="A157" t="n">
        <v>154</v>
      </c>
      <c r="B157" s="15">
        <f>IF(F156&lt;=0,0,F156)</f>
        <v/>
      </c>
      <c r="C157" s="15">
        <f>IF(B157&lt;=0,0,MIN(Assumptions!$B$13,B157+D157))</f>
        <v/>
      </c>
      <c r="D157" s="15">
        <f>IF(B157&lt;=0,0,B157*Assumptions!$B$6/12)</f>
        <v/>
      </c>
      <c r="E157" s="15">
        <f>IF(B157&lt;=0,0,C157-D157)</f>
        <v/>
      </c>
      <c r="F157" s="15">
        <f>IF(B157&lt;=0,0,B157-E157)</f>
        <v/>
      </c>
      <c r="G157" s="15">
        <f>IF(B157&lt;=0,G156,G156+D157)</f>
        <v/>
      </c>
    </row>
    <row r="158">
      <c r="A158" t="n">
        <v>155</v>
      </c>
      <c r="B158" s="15">
        <f>IF(F157&lt;=0,0,F157)</f>
        <v/>
      </c>
      <c r="C158" s="15">
        <f>IF(B158&lt;=0,0,MIN(Assumptions!$B$13,B158+D158))</f>
        <v/>
      </c>
      <c r="D158" s="15">
        <f>IF(B158&lt;=0,0,B158*Assumptions!$B$6/12)</f>
        <v/>
      </c>
      <c r="E158" s="15">
        <f>IF(B158&lt;=0,0,C158-D158)</f>
        <v/>
      </c>
      <c r="F158" s="15">
        <f>IF(B158&lt;=0,0,B158-E158)</f>
        <v/>
      </c>
      <c r="G158" s="15">
        <f>IF(B158&lt;=0,G157,G157+D158)</f>
        <v/>
      </c>
    </row>
    <row r="159">
      <c r="A159" t="n">
        <v>156</v>
      </c>
      <c r="B159" s="15">
        <f>IF(F158&lt;=0,0,F158)</f>
        <v/>
      </c>
      <c r="C159" s="15">
        <f>IF(B159&lt;=0,0,MIN(Assumptions!$B$13,B159+D159))</f>
        <v/>
      </c>
      <c r="D159" s="15">
        <f>IF(B159&lt;=0,0,B159*Assumptions!$B$6/12)</f>
        <v/>
      </c>
      <c r="E159" s="15">
        <f>IF(B159&lt;=0,0,C159-D159)</f>
        <v/>
      </c>
      <c r="F159" s="15">
        <f>IF(B159&lt;=0,0,B159-E159)</f>
        <v/>
      </c>
      <c r="G159" s="15">
        <f>IF(B159&lt;=0,G158,G158+D159)</f>
        <v/>
      </c>
    </row>
    <row r="160">
      <c r="A160" t="n">
        <v>157</v>
      </c>
      <c r="B160" s="15">
        <f>IF(F159&lt;=0,0,F159)</f>
        <v/>
      </c>
      <c r="C160" s="15">
        <f>IF(B160&lt;=0,0,MIN(Assumptions!$B$13,B160+D160))</f>
        <v/>
      </c>
      <c r="D160" s="15">
        <f>IF(B160&lt;=0,0,B160*Assumptions!$B$6/12)</f>
        <v/>
      </c>
      <c r="E160" s="15">
        <f>IF(B160&lt;=0,0,C160-D160)</f>
        <v/>
      </c>
      <c r="F160" s="15">
        <f>IF(B160&lt;=0,0,B160-E160)</f>
        <v/>
      </c>
      <c r="G160" s="15">
        <f>IF(B160&lt;=0,G159,G159+D160)</f>
        <v/>
      </c>
    </row>
    <row r="161">
      <c r="A161" t="n">
        <v>158</v>
      </c>
      <c r="B161" s="15">
        <f>IF(F160&lt;=0,0,F160)</f>
        <v/>
      </c>
      <c r="C161" s="15">
        <f>IF(B161&lt;=0,0,MIN(Assumptions!$B$13,B161+D161))</f>
        <v/>
      </c>
      <c r="D161" s="15">
        <f>IF(B161&lt;=0,0,B161*Assumptions!$B$6/12)</f>
        <v/>
      </c>
      <c r="E161" s="15">
        <f>IF(B161&lt;=0,0,C161-D161)</f>
        <v/>
      </c>
      <c r="F161" s="15">
        <f>IF(B161&lt;=0,0,B161-E161)</f>
        <v/>
      </c>
      <c r="G161" s="15">
        <f>IF(B161&lt;=0,G160,G160+D161)</f>
        <v/>
      </c>
    </row>
    <row r="162">
      <c r="A162" t="n">
        <v>159</v>
      </c>
      <c r="B162" s="15">
        <f>IF(F161&lt;=0,0,F161)</f>
        <v/>
      </c>
      <c r="C162" s="15">
        <f>IF(B162&lt;=0,0,MIN(Assumptions!$B$13,B162+D162))</f>
        <v/>
      </c>
      <c r="D162" s="15">
        <f>IF(B162&lt;=0,0,B162*Assumptions!$B$6/12)</f>
        <v/>
      </c>
      <c r="E162" s="15">
        <f>IF(B162&lt;=0,0,C162-D162)</f>
        <v/>
      </c>
      <c r="F162" s="15">
        <f>IF(B162&lt;=0,0,B162-E162)</f>
        <v/>
      </c>
      <c r="G162" s="15">
        <f>IF(B162&lt;=0,G161,G161+D162)</f>
        <v/>
      </c>
    </row>
    <row r="163">
      <c r="A163" t="n">
        <v>160</v>
      </c>
      <c r="B163" s="15">
        <f>IF(F162&lt;=0,0,F162)</f>
        <v/>
      </c>
      <c r="C163" s="15">
        <f>IF(B163&lt;=0,0,MIN(Assumptions!$B$13,B163+D163))</f>
        <v/>
      </c>
      <c r="D163" s="15">
        <f>IF(B163&lt;=0,0,B163*Assumptions!$B$6/12)</f>
        <v/>
      </c>
      <c r="E163" s="15">
        <f>IF(B163&lt;=0,0,C163-D163)</f>
        <v/>
      </c>
      <c r="F163" s="15">
        <f>IF(B163&lt;=0,0,B163-E163)</f>
        <v/>
      </c>
      <c r="G163" s="15">
        <f>IF(B163&lt;=0,G162,G162+D163)</f>
        <v/>
      </c>
    </row>
    <row r="164">
      <c r="A164" t="n">
        <v>161</v>
      </c>
      <c r="B164" s="15">
        <f>IF(F163&lt;=0,0,F163)</f>
        <v/>
      </c>
      <c r="C164" s="15">
        <f>IF(B164&lt;=0,0,MIN(Assumptions!$B$13,B164+D164))</f>
        <v/>
      </c>
      <c r="D164" s="15">
        <f>IF(B164&lt;=0,0,B164*Assumptions!$B$6/12)</f>
        <v/>
      </c>
      <c r="E164" s="15">
        <f>IF(B164&lt;=0,0,C164-D164)</f>
        <v/>
      </c>
      <c r="F164" s="15">
        <f>IF(B164&lt;=0,0,B164-E164)</f>
        <v/>
      </c>
      <c r="G164" s="15">
        <f>IF(B164&lt;=0,G163,G163+D164)</f>
        <v/>
      </c>
    </row>
    <row r="165">
      <c r="A165" t="n">
        <v>162</v>
      </c>
      <c r="B165" s="15">
        <f>IF(F164&lt;=0,0,F164)</f>
        <v/>
      </c>
      <c r="C165" s="15">
        <f>IF(B165&lt;=0,0,MIN(Assumptions!$B$13,B165+D165))</f>
        <v/>
      </c>
      <c r="D165" s="15">
        <f>IF(B165&lt;=0,0,B165*Assumptions!$B$6/12)</f>
        <v/>
      </c>
      <c r="E165" s="15">
        <f>IF(B165&lt;=0,0,C165-D165)</f>
        <v/>
      </c>
      <c r="F165" s="15">
        <f>IF(B165&lt;=0,0,B165-E165)</f>
        <v/>
      </c>
      <c r="G165" s="15">
        <f>IF(B165&lt;=0,G164,G164+D165)</f>
        <v/>
      </c>
    </row>
    <row r="166">
      <c r="A166" t="n">
        <v>163</v>
      </c>
      <c r="B166" s="15">
        <f>IF(F165&lt;=0,0,F165)</f>
        <v/>
      </c>
      <c r="C166" s="15">
        <f>IF(B166&lt;=0,0,MIN(Assumptions!$B$13,B166+D166))</f>
        <v/>
      </c>
      <c r="D166" s="15">
        <f>IF(B166&lt;=0,0,B166*Assumptions!$B$6/12)</f>
        <v/>
      </c>
      <c r="E166" s="15">
        <f>IF(B166&lt;=0,0,C166-D166)</f>
        <v/>
      </c>
      <c r="F166" s="15">
        <f>IF(B166&lt;=0,0,B166-E166)</f>
        <v/>
      </c>
      <c r="G166" s="15">
        <f>IF(B166&lt;=0,G165,G165+D166)</f>
        <v/>
      </c>
    </row>
    <row r="167">
      <c r="A167" t="n">
        <v>164</v>
      </c>
      <c r="B167" s="15">
        <f>IF(F166&lt;=0,0,F166)</f>
        <v/>
      </c>
      <c r="C167" s="15">
        <f>IF(B167&lt;=0,0,MIN(Assumptions!$B$13,B167+D167))</f>
        <v/>
      </c>
      <c r="D167" s="15">
        <f>IF(B167&lt;=0,0,B167*Assumptions!$B$6/12)</f>
        <v/>
      </c>
      <c r="E167" s="15">
        <f>IF(B167&lt;=0,0,C167-D167)</f>
        <v/>
      </c>
      <c r="F167" s="15">
        <f>IF(B167&lt;=0,0,B167-E167)</f>
        <v/>
      </c>
      <c r="G167" s="15">
        <f>IF(B167&lt;=0,G166,G166+D167)</f>
        <v/>
      </c>
    </row>
    <row r="168">
      <c r="A168" t="n">
        <v>165</v>
      </c>
      <c r="B168" s="15">
        <f>IF(F167&lt;=0,0,F167)</f>
        <v/>
      </c>
      <c r="C168" s="15">
        <f>IF(B168&lt;=0,0,MIN(Assumptions!$B$13,B168+D168))</f>
        <v/>
      </c>
      <c r="D168" s="15">
        <f>IF(B168&lt;=0,0,B168*Assumptions!$B$6/12)</f>
        <v/>
      </c>
      <c r="E168" s="15">
        <f>IF(B168&lt;=0,0,C168-D168)</f>
        <v/>
      </c>
      <c r="F168" s="15">
        <f>IF(B168&lt;=0,0,B168-E168)</f>
        <v/>
      </c>
      <c r="G168" s="15">
        <f>IF(B168&lt;=0,G167,G167+D168)</f>
        <v/>
      </c>
    </row>
    <row r="169">
      <c r="A169" t="n">
        <v>166</v>
      </c>
      <c r="B169" s="15">
        <f>IF(F168&lt;=0,0,F168)</f>
        <v/>
      </c>
      <c r="C169" s="15">
        <f>IF(B169&lt;=0,0,MIN(Assumptions!$B$13,B169+D169))</f>
        <v/>
      </c>
      <c r="D169" s="15">
        <f>IF(B169&lt;=0,0,B169*Assumptions!$B$6/12)</f>
        <v/>
      </c>
      <c r="E169" s="15">
        <f>IF(B169&lt;=0,0,C169-D169)</f>
        <v/>
      </c>
      <c r="F169" s="15">
        <f>IF(B169&lt;=0,0,B169-E169)</f>
        <v/>
      </c>
      <c r="G169" s="15">
        <f>IF(B169&lt;=0,G168,G168+D169)</f>
        <v/>
      </c>
    </row>
    <row r="170">
      <c r="A170" t="n">
        <v>167</v>
      </c>
      <c r="B170" s="15">
        <f>IF(F169&lt;=0,0,F169)</f>
        <v/>
      </c>
      <c r="C170" s="15">
        <f>IF(B170&lt;=0,0,MIN(Assumptions!$B$13,B170+D170))</f>
        <v/>
      </c>
      <c r="D170" s="15">
        <f>IF(B170&lt;=0,0,B170*Assumptions!$B$6/12)</f>
        <v/>
      </c>
      <c r="E170" s="15">
        <f>IF(B170&lt;=0,0,C170-D170)</f>
        <v/>
      </c>
      <c r="F170" s="15">
        <f>IF(B170&lt;=0,0,B170-E170)</f>
        <v/>
      </c>
      <c r="G170" s="15">
        <f>IF(B170&lt;=0,G169,G169+D170)</f>
        <v/>
      </c>
    </row>
    <row r="171">
      <c r="A171" t="n">
        <v>168</v>
      </c>
      <c r="B171" s="15">
        <f>IF(F170&lt;=0,0,F170)</f>
        <v/>
      </c>
      <c r="C171" s="15">
        <f>IF(B171&lt;=0,0,MIN(Assumptions!$B$13,B171+D171))</f>
        <v/>
      </c>
      <c r="D171" s="15">
        <f>IF(B171&lt;=0,0,B171*Assumptions!$B$6/12)</f>
        <v/>
      </c>
      <c r="E171" s="15">
        <f>IF(B171&lt;=0,0,C171-D171)</f>
        <v/>
      </c>
      <c r="F171" s="15">
        <f>IF(B171&lt;=0,0,B171-E171)</f>
        <v/>
      </c>
      <c r="G171" s="15">
        <f>IF(B171&lt;=0,G170,G170+D171)</f>
        <v/>
      </c>
    </row>
    <row r="172">
      <c r="A172" t="n">
        <v>169</v>
      </c>
      <c r="B172" s="15">
        <f>IF(F171&lt;=0,0,F171)</f>
        <v/>
      </c>
      <c r="C172" s="15">
        <f>IF(B172&lt;=0,0,MIN(Assumptions!$B$13,B172+D172))</f>
        <v/>
      </c>
      <c r="D172" s="15">
        <f>IF(B172&lt;=0,0,B172*Assumptions!$B$6/12)</f>
        <v/>
      </c>
      <c r="E172" s="15">
        <f>IF(B172&lt;=0,0,C172-D172)</f>
        <v/>
      </c>
      <c r="F172" s="15">
        <f>IF(B172&lt;=0,0,B172-E172)</f>
        <v/>
      </c>
      <c r="G172" s="15">
        <f>IF(B172&lt;=0,G171,G171+D172)</f>
        <v/>
      </c>
    </row>
    <row r="173">
      <c r="A173" t="n">
        <v>170</v>
      </c>
      <c r="B173" s="15">
        <f>IF(F172&lt;=0,0,F172)</f>
        <v/>
      </c>
      <c r="C173" s="15">
        <f>IF(B173&lt;=0,0,MIN(Assumptions!$B$13,B173+D173))</f>
        <v/>
      </c>
      <c r="D173" s="15">
        <f>IF(B173&lt;=0,0,B173*Assumptions!$B$6/12)</f>
        <v/>
      </c>
      <c r="E173" s="15">
        <f>IF(B173&lt;=0,0,C173-D173)</f>
        <v/>
      </c>
      <c r="F173" s="15">
        <f>IF(B173&lt;=0,0,B173-E173)</f>
        <v/>
      </c>
      <c r="G173" s="15">
        <f>IF(B173&lt;=0,G172,G172+D173)</f>
        <v/>
      </c>
    </row>
    <row r="174">
      <c r="A174" t="n">
        <v>171</v>
      </c>
      <c r="B174" s="15">
        <f>IF(F173&lt;=0,0,F173)</f>
        <v/>
      </c>
      <c r="C174" s="15">
        <f>IF(B174&lt;=0,0,MIN(Assumptions!$B$13,B174+D174))</f>
        <v/>
      </c>
      <c r="D174" s="15">
        <f>IF(B174&lt;=0,0,B174*Assumptions!$B$6/12)</f>
        <v/>
      </c>
      <c r="E174" s="15">
        <f>IF(B174&lt;=0,0,C174-D174)</f>
        <v/>
      </c>
      <c r="F174" s="15">
        <f>IF(B174&lt;=0,0,B174-E174)</f>
        <v/>
      </c>
      <c r="G174" s="15">
        <f>IF(B174&lt;=0,G173,G173+D174)</f>
        <v/>
      </c>
    </row>
    <row r="175">
      <c r="A175" t="n">
        <v>172</v>
      </c>
      <c r="B175" s="15">
        <f>IF(F174&lt;=0,0,F174)</f>
        <v/>
      </c>
      <c r="C175" s="15">
        <f>IF(B175&lt;=0,0,MIN(Assumptions!$B$13,B175+D175))</f>
        <v/>
      </c>
      <c r="D175" s="15">
        <f>IF(B175&lt;=0,0,B175*Assumptions!$B$6/12)</f>
        <v/>
      </c>
      <c r="E175" s="15">
        <f>IF(B175&lt;=0,0,C175-D175)</f>
        <v/>
      </c>
      <c r="F175" s="15">
        <f>IF(B175&lt;=0,0,B175-E175)</f>
        <v/>
      </c>
      <c r="G175" s="15">
        <f>IF(B175&lt;=0,G174,G174+D175)</f>
        <v/>
      </c>
    </row>
    <row r="176">
      <c r="A176" t="n">
        <v>173</v>
      </c>
      <c r="B176" s="15">
        <f>IF(F175&lt;=0,0,F175)</f>
        <v/>
      </c>
      <c r="C176" s="15">
        <f>IF(B176&lt;=0,0,MIN(Assumptions!$B$13,B176+D176))</f>
        <v/>
      </c>
      <c r="D176" s="15">
        <f>IF(B176&lt;=0,0,B176*Assumptions!$B$6/12)</f>
        <v/>
      </c>
      <c r="E176" s="15">
        <f>IF(B176&lt;=0,0,C176-D176)</f>
        <v/>
      </c>
      <c r="F176" s="15">
        <f>IF(B176&lt;=0,0,B176-E176)</f>
        <v/>
      </c>
      <c r="G176" s="15">
        <f>IF(B176&lt;=0,G175,G175+D176)</f>
        <v/>
      </c>
    </row>
    <row r="177">
      <c r="A177" t="n">
        <v>174</v>
      </c>
      <c r="B177" s="15">
        <f>IF(F176&lt;=0,0,F176)</f>
        <v/>
      </c>
      <c r="C177" s="15">
        <f>IF(B177&lt;=0,0,MIN(Assumptions!$B$13,B177+D177))</f>
        <v/>
      </c>
      <c r="D177" s="15">
        <f>IF(B177&lt;=0,0,B177*Assumptions!$B$6/12)</f>
        <v/>
      </c>
      <c r="E177" s="15">
        <f>IF(B177&lt;=0,0,C177-D177)</f>
        <v/>
      </c>
      <c r="F177" s="15">
        <f>IF(B177&lt;=0,0,B177-E177)</f>
        <v/>
      </c>
      <c r="G177" s="15">
        <f>IF(B177&lt;=0,G176,G176+D177)</f>
        <v/>
      </c>
    </row>
    <row r="178">
      <c r="A178" t="n">
        <v>175</v>
      </c>
      <c r="B178" s="15">
        <f>IF(F177&lt;=0,0,F177)</f>
        <v/>
      </c>
      <c r="C178" s="15">
        <f>IF(B178&lt;=0,0,MIN(Assumptions!$B$13,B178+D178))</f>
        <v/>
      </c>
      <c r="D178" s="15">
        <f>IF(B178&lt;=0,0,B178*Assumptions!$B$6/12)</f>
        <v/>
      </c>
      <c r="E178" s="15">
        <f>IF(B178&lt;=0,0,C178-D178)</f>
        <v/>
      </c>
      <c r="F178" s="15">
        <f>IF(B178&lt;=0,0,B178-E178)</f>
        <v/>
      </c>
      <c r="G178" s="15">
        <f>IF(B178&lt;=0,G177,G177+D178)</f>
        <v/>
      </c>
    </row>
    <row r="179">
      <c r="A179" t="n">
        <v>176</v>
      </c>
      <c r="B179" s="15">
        <f>IF(F178&lt;=0,0,F178)</f>
        <v/>
      </c>
      <c r="C179" s="15">
        <f>IF(B179&lt;=0,0,MIN(Assumptions!$B$13,B179+D179))</f>
        <v/>
      </c>
      <c r="D179" s="15">
        <f>IF(B179&lt;=0,0,B179*Assumptions!$B$6/12)</f>
        <v/>
      </c>
      <c r="E179" s="15">
        <f>IF(B179&lt;=0,0,C179-D179)</f>
        <v/>
      </c>
      <c r="F179" s="15">
        <f>IF(B179&lt;=0,0,B179-E179)</f>
        <v/>
      </c>
      <c r="G179" s="15">
        <f>IF(B179&lt;=0,G178,G178+D179)</f>
        <v/>
      </c>
    </row>
    <row r="180">
      <c r="A180" t="n">
        <v>177</v>
      </c>
      <c r="B180" s="15">
        <f>IF(F179&lt;=0,0,F179)</f>
        <v/>
      </c>
      <c r="C180" s="15">
        <f>IF(B180&lt;=0,0,MIN(Assumptions!$B$13,B180+D180))</f>
        <v/>
      </c>
      <c r="D180" s="15">
        <f>IF(B180&lt;=0,0,B180*Assumptions!$B$6/12)</f>
        <v/>
      </c>
      <c r="E180" s="15">
        <f>IF(B180&lt;=0,0,C180-D180)</f>
        <v/>
      </c>
      <c r="F180" s="15">
        <f>IF(B180&lt;=0,0,B180-E180)</f>
        <v/>
      </c>
      <c r="G180" s="15">
        <f>IF(B180&lt;=0,G179,G179+D180)</f>
        <v/>
      </c>
    </row>
    <row r="181">
      <c r="A181" t="n">
        <v>178</v>
      </c>
      <c r="B181" s="15">
        <f>IF(F180&lt;=0,0,F180)</f>
        <v/>
      </c>
      <c r="C181" s="15">
        <f>IF(B181&lt;=0,0,MIN(Assumptions!$B$13,B181+D181))</f>
        <v/>
      </c>
      <c r="D181" s="15">
        <f>IF(B181&lt;=0,0,B181*Assumptions!$B$6/12)</f>
        <v/>
      </c>
      <c r="E181" s="15">
        <f>IF(B181&lt;=0,0,C181-D181)</f>
        <v/>
      </c>
      <c r="F181" s="15">
        <f>IF(B181&lt;=0,0,B181-E181)</f>
        <v/>
      </c>
      <c r="G181" s="15">
        <f>IF(B181&lt;=0,G180,G180+D181)</f>
        <v/>
      </c>
    </row>
    <row r="182">
      <c r="A182" t="n">
        <v>179</v>
      </c>
      <c r="B182" s="15">
        <f>IF(F181&lt;=0,0,F181)</f>
        <v/>
      </c>
      <c r="C182" s="15">
        <f>IF(B182&lt;=0,0,MIN(Assumptions!$B$13,B182+D182))</f>
        <v/>
      </c>
      <c r="D182" s="15">
        <f>IF(B182&lt;=0,0,B182*Assumptions!$B$6/12)</f>
        <v/>
      </c>
      <c r="E182" s="15">
        <f>IF(B182&lt;=0,0,C182-D182)</f>
        <v/>
      </c>
      <c r="F182" s="15">
        <f>IF(B182&lt;=0,0,B182-E182)</f>
        <v/>
      </c>
      <c r="G182" s="15">
        <f>IF(B182&lt;=0,G181,G181+D182)</f>
        <v/>
      </c>
    </row>
    <row r="183">
      <c r="A183" t="n">
        <v>180</v>
      </c>
      <c r="B183" s="15">
        <f>IF(F182&lt;=0,0,F182)</f>
        <v/>
      </c>
      <c r="C183" s="15">
        <f>IF(B183&lt;=0,0,MIN(Assumptions!$B$13,B183+D183))</f>
        <v/>
      </c>
      <c r="D183" s="15">
        <f>IF(B183&lt;=0,0,B183*Assumptions!$B$6/12)</f>
        <v/>
      </c>
      <c r="E183" s="15">
        <f>IF(B183&lt;=0,0,C183-D183)</f>
        <v/>
      </c>
      <c r="F183" s="15">
        <f>IF(B183&lt;=0,0,B183-E183)</f>
        <v/>
      </c>
      <c r="G183" s="15">
        <f>IF(B183&lt;=0,G182,G182+D183)</f>
        <v/>
      </c>
    </row>
    <row r="184">
      <c r="A184" t="n">
        <v>181</v>
      </c>
      <c r="B184" s="15">
        <f>IF(F183&lt;=0,0,F183)</f>
        <v/>
      </c>
      <c r="C184" s="15">
        <f>IF(B184&lt;=0,0,MIN(Assumptions!$B$13,B184+D184))</f>
        <v/>
      </c>
      <c r="D184" s="15">
        <f>IF(B184&lt;=0,0,B184*Assumptions!$B$6/12)</f>
        <v/>
      </c>
      <c r="E184" s="15">
        <f>IF(B184&lt;=0,0,C184-D184)</f>
        <v/>
      </c>
      <c r="F184" s="15">
        <f>IF(B184&lt;=0,0,B184-E184)</f>
        <v/>
      </c>
      <c r="G184" s="15">
        <f>IF(B184&lt;=0,G183,G183+D184)</f>
        <v/>
      </c>
    </row>
    <row r="185">
      <c r="A185" t="n">
        <v>182</v>
      </c>
      <c r="B185" s="15">
        <f>IF(F184&lt;=0,0,F184)</f>
        <v/>
      </c>
      <c r="C185" s="15">
        <f>IF(B185&lt;=0,0,MIN(Assumptions!$B$13,B185+D185))</f>
        <v/>
      </c>
      <c r="D185" s="15">
        <f>IF(B185&lt;=0,0,B185*Assumptions!$B$6/12)</f>
        <v/>
      </c>
      <c r="E185" s="15">
        <f>IF(B185&lt;=0,0,C185-D185)</f>
        <v/>
      </c>
      <c r="F185" s="15">
        <f>IF(B185&lt;=0,0,B185-E185)</f>
        <v/>
      </c>
      <c r="G185" s="15">
        <f>IF(B185&lt;=0,G184,G184+D185)</f>
        <v/>
      </c>
    </row>
    <row r="186">
      <c r="A186" t="n">
        <v>183</v>
      </c>
      <c r="B186" s="15">
        <f>IF(F185&lt;=0,0,F185)</f>
        <v/>
      </c>
      <c r="C186" s="15">
        <f>IF(B186&lt;=0,0,MIN(Assumptions!$B$13,B186+D186))</f>
        <v/>
      </c>
      <c r="D186" s="15">
        <f>IF(B186&lt;=0,0,B186*Assumptions!$B$6/12)</f>
        <v/>
      </c>
      <c r="E186" s="15">
        <f>IF(B186&lt;=0,0,C186-D186)</f>
        <v/>
      </c>
      <c r="F186" s="15">
        <f>IF(B186&lt;=0,0,B186-E186)</f>
        <v/>
      </c>
      <c r="G186" s="15">
        <f>IF(B186&lt;=0,G185,G185+D186)</f>
        <v/>
      </c>
    </row>
    <row r="187">
      <c r="A187" t="n">
        <v>184</v>
      </c>
      <c r="B187" s="15">
        <f>IF(F186&lt;=0,0,F186)</f>
        <v/>
      </c>
      <c r="C187" s="15">
        <f>IF(B187&lt;=0,0,MIN(Assumptions!$B$13,B187+D187))</f>
        <v/>
      </c>
      <c r="D187" s="15">
        <f>IF(B187&lt;=0,0,B187*Assumptions!$B$6/12)</f>
        <v/>
      </c>
      <c r="E187" s="15">
        <f>IF(B187&lt;=0,0,C187-D187)</f>
        <v/>
      </c>
      <c r="F187" s="15">
        <f>IF(B187&lt;=0,0,B187-E187)</f>
        <v/>
      </c>
      <c r="G187" s="15">
        <f>IF(B187&lt;=0,G186,G186+D187)</f>
        <v/>
      </c>
    </row>
    <row r="188">
      <c r="A188" t="n">
        <v>185</v>
      </c>
      <c r="B188" s="15">
        <f>IF(F187&lt;=0,0,F187)</f>
        <v/>
      </c>
      <c r="C188" s="15">
        <f>IF(B188&lt;=0,0,MIN(Assumptions!$B$13,B188+D188))</f>
        <v/>
      </c>
      <c r="D188" s="15">
        <f>IF(B188&lt;=0,0,B188*Assumptions!$B$6/12)</f>
        <v/>
      </c>
      <c r="E188" s="15">
        <f>IF(B188&lt;=0,0,C188-D188)</f>
        <v/>
      </c>
      <c r="F188" s="15">
        <f>IF(B188&lt;=0,0,B188-E188)</f>
        <v/>
      </c>
      <c r="G188" s="15">
        <f>IF(B188&lt;=0,G187,G187+D188)</f>
        <v/>
      </c>
    </row>
    <row r="189">
      <c r="A189" t="n">
        <v>186</v>
      </c>
      <c r="B189" s="15">
        <f>IF(F188&lt;=0,0,F188)</f>
        <v/>
      </c>
      <c r="C189" s="15">
        <f>IF(B189&lt;=0,0,MIN(Assumptions!$B$13,B189+D189))</f>
        <v/>
      </c>
      <c r="D189" s="15">
        <f>IF(B189&lt;=0,0,B189*Assumptions!$B$6/12)</f>
        <v/>
      </c>
      <c r="E189" s="15">
        <f>IF(B189&lt;=0,0,C189-D189)</f>
        <v/>
      </c>
      <c r="F189" s="15">
        <f>IF(B189&lt;=0,0,B189-E189)</f>
        <v/>
      </c>
      <c r="G189" s="15">
        <f>IF(B189&lt;=0,G188,G188+D189)</f>
        <v/>
      </c>
    </row>
    <row r="190">
      <c r="A190" t="n">
        <v>187</v>
      </c>
      <c r="B190" s="15">
        <f>IF(F189&lt;=0,0,F189)</f>
        <v/>
      </c>
      <c r="C190" s="15">
        <f>IF(B190&lt;=0,0,MIN(Assumptions!$B$13,B190+D190))</f>
        <v/>
      </c>
      <c r="D190" s="15">
        <f>IF(B190&lt;=0,0,B190*Assumptions!$B$6/12)</f>
        <v/>
      </c>
      <c r="E190" s="15">
        <f>IF(B190&lt;=0,0,C190-D190)</f>
        <v/>
      </c>
      <c r="F190" s="15">
        <f>IF(B190&lt;=0,0,B190-E190)</f>
        <v/>
      </c>
      <c r="G190" s="15">
        <f>IF(B190&lt;=0,G189,G189+D190)</f>
        <v/>
      </c>
    </row>
    <row r="191">
      <c r="A191" t="n">
        <v>188</v>
      </c>
      <c r="B191" s="15">
        <f>IF(F190&lt;=0,0,F190)</f>
        <v/>
      </c>
      <c r="C191" s="15">
        <f>IF(B191&lt;=0,0,MIN(Assumptions!$B$13,B191+D191))</f>
        <v/>
      </c>
      <c r="D191" s="15">
        <f>IF(B191&lt;=0,0,B191*Assumptions!$B$6/12)</f>
        <v/>
      </c>
      <c r="E191" s="15">
        <f>IF(B191&lt;=0,0,C191-D191)</f>
        <v/>
      </c>
      <c r="F191" s="15">
        <f>IF(B191&lt;=0,0,B191-E191)</f>
        <v/>
      </c>
      <c r="G191" s="15">
        <f>IF(B191&lt;=0,G190,G190+D191)</f>
        <v/>
      </c>
    </row>
    <row r="192">
      <c r="A192" t="n">
        <v>189</v>
      </c>
      <c r="B192" s="15">
        <f>IF(F191&lt;=0,0,F191)</f>
        <v/>
      </c>
      <c r="C192" s="15">
        <f>IF(B192&lt;=0,0,MIN(Assumptions!$B$13,B192+D192))</f>
        <v/>
      </c>
      <c r="D192" s="15">
        <f>IF(B192&lt;=0,0,B192*Assumptions!$B$6/12)</f>
        <v/>
      </c>
      <c r="E192" s="15">
        <f>IF(B192&lt;=0,0,C192-D192)</f>
        <v/>
      </c>
      <c r="F192" s="15">
        <f>IF(B192&lt;=0,0,B192-E192)</f>
        <v/>
      </c>
      <c r="G192" s="15">
        <f>IF(B192&lt;=0,G191,G191+D192)</f>
        <v/>
      </c>
    </row>
    <row r="193">
      <c r="A193" t="n">
        <v>190</v>
      </c>
      <c r="B193" s="15">
        <f>IF(F192&lt;=0,0,F192)</f>
        <v/>
      </c>
      <c r="C193" s="15">
        <f>IF(B193&lt;=0,0,MIN(Assumptions!$B$13,B193+D193))</f>
        <v/>
      </c>
      <c r="D193" s="15">
        <f>IF(B193&lt;=0,0,B193*Assumptions!$B$6/12)</f>
        <v/>
      </c>
      <c r="E193" s="15">
        <f>IF(B193&lt;=0,0,C193-D193)</f>
        <v/>
      </c>
      <c r="F193" s="15">
        <f>IF(B193&lt;=0,0,B193-E193)</f>
        <v/>
      </c>
      <c r="G193" s="15">
        <f>IF(B193&lt;=0,G192,G192+D193)</f>
        <v/>
      </c>
    </row>
    <row r="194">
      <c r="A194" t="n">
        <v>191</v>
      </c>
      <c r="B194" s="15">
        <f>IF(F193&lt;=0,0,F193)</f>
        <v/>
      </c>
      <c r="C194" s="15">
        <f>IF(B194&lt;=0,0,MIN(Assumptions!$B$13,B194+D194))</f>
        <v/>
      </c>
      <c r="D194" s="15">
        <f>IF(B194&lt;=0,0,B194*Assumptions!$B$6/12)</f>
        <v/>
      </c>
      <c r="E194" s="15">
        <f>IF(B194&lt;=0,0,C194-D194)</f>
        <v/>
      </c>
      <c r="F194" s="15">
        <f>IF(B194&lt;=0,0,B194-E194)</f>
        <v/>
      </c>
      <c r="G194" s="15">
        <f>IF(B194&lt;=0,G193,G193+D194)</f>
        <v/>
      </c>
    </row>
    <row r="195">
      <c r="A195" t="n">
        <v>192</v>
      </c>
      <c r="B195" s="15">
        <f>IF(F194&lt;=0,0,F194)</f>
        <v/>
      </c>
      <c r="C195" s="15">
        <f>IF(B195&lt;=0,0,MIN(Assumptions!$B$13,B195+D195))</f>
        <v/>
      </c>
      <c r="D195" s="15">
        <f>IF(B195&lt;=0,0,B195*Assumptions!$B$6/12)</f>
        <v/>
      </c>
      <c r="E195" s="15">
        <f>IF(B195&lt;=0,0,C195-D195)</f>
        <v/>
      </c>
      <c r="F195" s="15">
        <f>IF(B195&lt;=0,0,B195-E195)</f>
        <v/>
      </c>
      <c r="G195" s="15">
        <f>IF(B195&lt;=0,G194,G194+D195)</f>
        <v/>
      </c>
    </row>
    <row r="196">
      <c r="A196" t="n">
        <v>193</v>
      </c>
      <c r="B196" s="15">
        <f>IF(F195&lt;=0,0,F195)</f>
        <v/>
      </c>
      <c r="C196" s="15">
        <f>IF(B196&lt;=0,0,MIN(Assumptions!$B$13,B196+D196))</f>
        <v/>
      </c>
      <c r="D196" s="15">
        <f>IF(B196&lt;=0,0,B196*Assumptions!$B$6/12)</f>
        <v/>
      </c>
      <c r="E196" s="15">
        <f>IF(B196&lt;=0,0,C196-D196)</f>
        <v/>
      </c>
      <c r="F196" s="15">
        <f>IF(B196&lt;=0,0,B196-E196)</f>
        <v/>
      </c>
      <c r="G196" s="15">
        <f>IF(B196&lt;=0,G195,G195+D196)</f>
        <v/>
      </c>
    </row>
    <row r="197">
      <c r="A197" t="n">
        <v>194</v>
      </c>
      <c r="B197" s="15">
        <f>IF(F196&lt;=0,0,F196)</f>
        <v/>
      </c>
      <c r="C197" s="15">
        <f>IF(B197&lt;=0,0,MIN(Assumptions!$B$13,B197+D197))</f>
        <v/>
      </c>
      <c r="D197" s="15">
        <f>IF(B197&lt;=0,0,B197*Assumptions!$B$6/12)</f>
        <v/>
      </c>
      <c r="E197" s="15">
        <f>IF(B197&lt;=0,0,C197-D197)</f>
        <v/>
      </c>
      <c r="F197" s="15">
        <f>IF(B197&lt;=0,0,B197-E197)</f>
        <v/>
      </c>
      <c r="G197" s="15">
        <f>IF(B197&lt;=0,G196,G196+D197)</f>
        <v/>
      </c>
    </row>
    <row r="198">
      <c r="A198" t="n">
        <v>195</v>
      </c>
      <c r="B198" s="15">
        <f>IF(F197&lt;=0,0,F197)</f>
        <v/>
      </c>
      <c r="C198" s="15">
        <f>IF(B198&lt;=0,0,MIN(Assumptions!$B$13,B198+D198))</f>
        <v/>
      </c>
      <c r="D198" s="15">
        <f>IF(B198&lt;=0,0,B198*Assumptions!$B$6/12)</f>
        <v/>
      </c>
      <c r="E198" s="15">
        <f>IF(B198&lt;=0,0,C198-D198)</f>
        <v/>
      </c>
      <c r="F198" s="15">
        <f>IF(B198&lt;=0,0,B198-E198)</f>
        <v/>
      </c>
      <c r="G198" s="15">
        <f>IF(B198&lt;=0,G197,G197+D198)</f>
        <v/>
      </c>
    </row>
    <row r="199">
      <c r="A199" t="n">
        <v>196</v>
      </c>
      <c r="B199" s="15">
        <f>IF(F198&lt;=0,0,F198)</f>
        <v/>
      </c>
      <c r="C199" s="15">
        <f>IF(B199&lt;=0,0,MIN(Assumptions!$B$13,B199+D199))</f>
        <v/>
      </c>
      <c r="D199" s="15">
        <f>IF(B199&lt;=0,0,B199*Assumptions!$B$6/12)</f>
        <v/>
      </c>
      <c r="E199" s="15">
        <f>IF(B199&lt;=0,0,C199-D199)</f>
        <v/>
      </c>
      <c r="F199" s="15">
        <f>IF(B199&lt;=0,0,B199-E199)</f>
        <v/>
      </c>
      <c r="G199" s="15">
        <f>IF(B199&lt;=0,G198,G198+D199)</f>
        <v/>
      </c>
    </row>
    <row r="200">
      <c r="A200" t="n">
        <v>197</v>
      </c>
      <c r="B200" s="15">
        <f>IF(F199&lt;=0,0,F199)</f>
        <v/>
      </c>
      <c r="C200" s="15">
        <f>IF(B200&lt;=0,0,MIN(Assumptions!$B$13,B200+D200))</f>
        <v/>
      </c>
      <c r="D200" s="15">
        <f>IF(B200&lt;=0,0,B200*Assumptions!$B$6/12)</f>
        <v/>
      </c>
      <c r="E200" s="15">
        <f>IF(B200&lt;=0,0,C200-D200)</f>
        <v/>
      </c>
      <c r="F200" s="15">
        <f>IF(B200&lt;=0,0,B200-E200)</f>
        <v/>
      </c>
      <c r="G200" s="15">
        <f>IF(B200&lt;=0,G199,G199+D200)</f>
        <v/>
      </c>
    </row>
    <row r="201">
      <c r="A201" t="n">
        <v>198</v>
      </c>
      <c r="B201" s="15">
        <f>IF(F200&lt;=0,0,F200)</f>
        <v/>
      </c>
      <c r="C201" s="15">
        <f>IF(B201&lt;=0,0,MIN(Assumptions!$B$13,B201+D201))</f>
        <v/>
      </c>
      <c r="D201" s="15">
        <f>IF(B201&lt;=0,0,B201*Assumptions!$B$6/12)</f>
        <v/>
      </c>
      <c r="E201" s="15">
        <f>IF(B201&lt;=0,0,C201-D201)</f>
        <v/>
      </c>
      <c r="F201" s="15">
        <f>IF(B201&lt;=0,0,B201-E201)</f>
        <v/>
      </c>
      <c r="G201" s="15">
        <f>IF(B201&lt;=0,G200,G200+D201)</f>
        <v/>
      </c>
    </row>
    <row r="202">
      <c r="A202" t="n">
        <v>199</v>
      </c>
      <c r="B202" s="15">
        <f>IF(F201&lt;=0,0,F201)</f>
        <v/>
      </c>
      <c r="C202" s="15">
        <f>IF(B202&lt;=0,0,MIN(Assumptions!$B$13,B202+D202))</f>
        <v/>
      </c>
      <c r="D202" s="15">
        <f>IF(B202&lt;=0,0,B202*Assumptions!$B$6/12)</f>
        <v/>
      </c>
      <c r="E202" s="15">
        <f>IF(B202&lt;=0,0,C202-D202)</f>
        <v/>
      </c>
      <c r="F202" s="15">
        <f>IF(B202&lt;=0,0,B202-E202)</f>
        <v/>
      </c>
      <c r="G202" s="15">
        <f>IF(B202&lt;=0,G201,G201+D202)</f>
        <v/>
      </c>
    </row>
    <row r="203">
      <c r="A203" t="n">
        <v>200</v>
      </c>
      <c r="B203" s="15">
        <f>IF(F202&lt;=0,0,F202)</f>
        <v/>
      </c>
      <c r="C203" s="15">
        <f>IF(B203&lt;=0,0,MIN(Assumptions!$B$13,B203+D203))</f>
        <v/>
      </c>
      <c r="D203" s="15">
        <f>IF(B203&lt;=0,0,B203*Assumptions!$B$6/12)</f>
        <v/>
      </c>
      <c r="E203" s="15">
        <f>IF(B203&lt;=0,0,C203-D203)</f>
        <v/>
      </c>
      <c r="F203" s="15">
        <f>IF(B203&lt;=0,0,B203-E203)</f>
        <v/>
      </c>
      <c r="G203" s="15">
        <f>IF(B203&lt;=0,G202,G202+D203)</f>
        <v/>
      </c>
    </row>
    <row r="204">
      <c r="A204" t="n">
        <v>201</v>
      </c>
      <c r="B204" s="15">
        <f>IF(F203&lt;=0,0,F203)</f>
        <v/>
      </c>
      <c r="C204" s="15">
        <f>IF(B204&lt;=0,0,MIN(Assumptions!$B$13,B204+D204))</f>
        <v/>
      </c>
      <c r="D204" s="15">
        <f>IF(B204&lt;=0,0,B204*Assumptions!$B$6/12)</f>
        <v/>
      </c>
      <c r="E204" s="15">
        <f>IF(B204&lt;=0,0,C204-D204)</f>
        <v/>
      </c>
      <c r="F204" s="15">
        <f>IF(B204&lt;=0,0,B204-E204)</f>
        <v/>
      </c>
      <c r="G204" s="15">
        <f>IF(B204&lt;=0,G203,G203+D204)</f>
        <v/>
      </c>
    </row>
    <row r="205">
      <c r="A205" t="n">
        <v>202</v>
      </c>
      <c r="B205" s="15">
        <f>IF(F204&lt;=0,0,F204)</f>
        <v/>
      </c>
      <c r="C205" s="15">
        <f>IF(B205&lt;=0,0,MIN(Assumptions!$B$13,B205+D205))</f>
        <v/>
      </c>
      <c r="D205" s="15">
        <f>IF(B205&lt;=0,0,B205*Assumptions!$B$6/12)</f>
        <v/>
      </c>
      <c r="E205" s="15">
        <f>IF(B205&lt;=0,0,C205-D205)</f>
        <v/>
      </c>
      <c r="F205" s="15">
        <f>IF(B205&lt;=0,0,B205-E205)</f>
        <v/>
      </c>
      <c r="G205" s="15">
        <f>IF(B205&lt;=0,G204,G204+D205)</f>
        <v/>
      </c>
    </row>
    <row r="206">
      <c r="A206" t="n">
        <v>203</v>
      </c>
      <c r="B206" s="15">
        <f>IF(F205&lt;=0,0,F205)</f>
        <v/>
      </c>
      <c r="C206" s="15">
        <f>IF(B206&lt;=0,0,MIN(Assumptions!$B$13,B206+D206))</f>
        <v/>
      </c>
      <c r="D206" s="15">
        <f>IF(B206&lt;=0,0,B206*Assumptions!$B$6/12)</f>
        <v/>
      </c>
      <c r="E206" s="15">
        <f>IF(B206&lt;=0,0,C206-D206)</f>
        <v/>
      </c>
      <c r="F206" s="15">
        <f>IF(B206&lt;=0,0,B206-E206)</f>
        <v/>
      </c>
      <c r="G206" s="15">
        <f>IF(B206&lt;=0,G205,G205+D206)</f>
        <v/>
      </c>
    </row>
    <row r="207">
      <c r="A207" t="n">
        <v>204</v>
      </c>
      <c r="B207" s="15">
        <f>IF(F206&lt;=0,0,F206)</f>
        <v/>
      </c>
      <c r="C207" s="15">
        <f>IF(B207&lt;=0,0,MIN(Assumptions!$B$13,B207+D207))</f>
        <v/>
      </c>
      <c r="D207" s="15">
        <f>IF(B207&lt;=0,0,B207*Assumptions!$B$6/12)</f>
        <v/>
      </c>
      <c r="E207" s="15">
        <f>IF(B207&lt;=0,0,C207-D207)</f>
        <v/>
      </c>
      <c r="F207" s="15">
        <f>IF(B207&lt;=0,0,B207-E207)</f>
        <v/>
      </c>
      <c r="G207" s="15">
        <f>IF(B207&lt;=0,G206,G206+D207)</f>
        <v/>
      </c>
    </row>
    <row r="208">
      <c r="A208" t="n">
        <v>205</v>
      </c>
      <c r="B208" s="15">
        <f>IF(F207&lt;=0,0,F207)</f>
        <v/>
      </c>
      <c r="C208" s="15">
        <f>IF(B208&lt;=0,0,MIN(Assumptions!$B$13,B208+D208))</f>
        <v/>
      </c>
      <c r="D208" s="15">
        <f>IF(B208&lt;=0,0,B208*Assumptions!$B$6/12)</f>
        <v/>
      </c>
      <c r="E208" s="15">
        <f>IF(B208&lt;=0,0,C208-D208)</f>
        <v/>
      </c>
      <c r="F208" s="15">
        <f>IF(B208&lt;=0,0,B208-E208)</f>
        <v/>
      </c>
      <c r="G208" s="15">
        <f>IF(B208&lt;=0,G207,G207+D208)</f>
        <v/>
      </c>
    </row>
    <row r="209">
      <c r="A209" t="n">
        <v>206</v>
      </c>
      <c r="B209" s="15">
        <f>IF(F208&lt;=0,0,F208)</f>
        <v/>
      </c>
      <c r="C209" s="15">
        <f>IF(B209&lt;=0,0,MIN(Assumptions!$B$13,B209+D209))</f>
        <v/>
      </c>
      <c r="D209" s="15">
        <f>IF(B209&lt;=0,0,B209*Assumptions!$B$6/12)</f>
        <v/>
      </c>
      <c r="E209" s="15">
        <f>IF(B209&lt;=0,0,C209-D209)</f>
        <v/>
      </c>
      <c r="F209" s="15">
        <f>IF(B209&lt;=0,0,B209-E209)</f>
        <v/>
      </c>
      <c r="G209" s="15">
        <f>IF(B209&lt;=0,G208,G208+D209)</f>
        <v/>
      </c>
    </row>
    <row r="210">
      <c r="A210" t="n">
        <v>207</v>
      </c>
      <c r="B210" s="15">
        <f>IF(F209&lt;=0,0,F209)</f>
        <v/>
      </c>
      <c r="C210" s="15">
        <f>IF(B210&lt;=0,0,MIN(Assumptions!$B$13,B210+D210))</f>
        <v/>
      </c>
      <c r="D210" s="15">
        <f>IF(B210&lt;=0,0,B210*Assumptions!$B$6/12)</f>
        <v/>
      </c>
      <c r="E210" s="15">
        <f>IF(B210&lt;=0,0,C210-D210)</f>
        <v/>
      </c>
      <c r="F210" s="15">
        <f>IF(B210&lt;=0,0,B210-E210)</f>
        <v/>
      </c>
      <c r="G210" s="15">
        <f>IF(B210&lt;=0,G209,G209+D210)</f>
        <v/>
      </c>
    </row>
    <row r="211">
      <c r="A211" t="n">
        <v>208</v>
      </c>
      <c r="B211" s="15">
        <f>IF(F210&lt;=0,0,F210)</f>
        <v/>
      </c>
      <c r="C211" s="15">
        <f>IF(B211&lt;=0,0,MIN(Assumptions!$B$13,B211+D211))</f>
        <v/>
      </c>
      <c r="D211" s="15">
        <f>IF(B211&lt;=0,0,B211*Assumptions!$B$6/12)</f>
        <v/>
      </c>
      <c r="E211" s="15">
        <f>IF(B211&lt;=0,0,C211-D211)</f>
        <v/>
      </c>
      <c r="F211" s="15">
        <f>IF(B211&lt;=0,0,B211-E211)</f>
        <v/>
      </c>
      <c r="G211" s="15">
        <f>IF(B211&lt;=0,G210,G210+D211)</f>
        <v/>
      </c>
    </row>
    <row r="212">
      <c r="A212" t="n">
        <v>209</v>
      </c>
      <c r="B212" s="15">
        <f>IF(F211&lt;=0,0,F211)</f>
        <v/>
      </c>
      <c r="C212" s="15">
        <f>IF(B212&lt;=0,0,MIN(Assumptions!$B$13,B212+D212))</f>
        <v/>
      </c>
      <c r="D212" s="15">
        <f>IF(B212&lt;=0,0,B212*Assumptions!$B$6/12)</f>
        <v/>
      </c>
      <c r="E212" s="15">
        <f>IF(B212&lt;=0,0,C212-D212)</f>
        <v/>
      </c>
      <c r="F212" s="15">
        <f>IF(B212&lt;=0,0,B212-E212)</f>
        <v/>
      </c>
      <c r="G212" s="15">
        <f>IF(B212&lt;=0,G211,G211+D212)</f>
        <v/>
      </c>
    </row>
    <row r="213">
      <c r="A213" t="n">
        <v>210</v>
      </c>
      <c r="B213" s="15">
        <f>IF(F212&lt;=0,0,F212)</f>
        <v/>
      </c>
      <c r="C213" s="15">
        <f>IF(B213&lt;=0,0,MIN(Assumptions!$B$13,B213+D213))</f>
        <v/>
      </c>
      <c r="D213" s="15">
        <f>IF(B213&lt;=0,0,B213*Assumptions!$B$6/12)</f>
        <v/>
      </c>
      <c r="E213" s="15">
        <f>IF(B213&lt;=0,0,C213-D213)</f>
        <v/>
      </c>
      <c r="F213" s="15">
        <f>IF(B213&lt;=0,0,B213-E213)</f>
        <v/>
      </c>
      <c r="G213" s="15">
        <f>IF(B213&lt;=0,G212,G212+D213)</f>
        <v/>
      </c>
    </row>
    <row r="214">
      <c r="A214" t="n">
        <v>211</v>
      </c>
      <c r="B214" s="15">
        <f>IF(F213&lt;=0,0,F213)</f>
        <v/>
      </c>
      <c r="C214" s="15">
        <f>IF(B214&lt;=0,0,MIN(Assumptions!$B$13,B214+D214))</f>
        <v/>
      </c>
      <c r="D214" s="15">
        <f>IF(B214&lt;=0,0,B214*Assumptions!$B$6/12)</f>
        <v/>
      </c>
      <c r="E214" s="15">
        <f>IF(B214&lt;=0,0,C214-D214)</f>
        <v/>
      </c>
      <c r="F214" s="15">
        <f>IF(B214&lt;=0,0,B214-E214)</f>
        <v/>
      </c>
      <c r="G214" s="15">
        <f>IF(B214&lt;=0,G213,G213+D214)</f>
        <v/>
      </c>
    </row>
    <row r="215">
      <c r="A215" t="n">
        <v>212</v>
      </c>
      <c r="B215" s="15">
        <f>IF(F214&lt;=0,0,F214)</f>
        <v/>
      </c>
      <c r="C215" s="15">
        <f>IF(B215&lt;=0,0,MIN(Assumptions!$B$13,B215+D215))</f>
        <v/>
      </c>
      <c r="D215" s="15">
        <f>IF(B215&lt;=0,0,B215*Assumptions!$B$6/12)</f>
        <v/>
      </c>
      <c r="E215" s="15">
        <f>IF(B215&lt;=0,0,C215-D215)</f>
        <v/>
      </c>
      <c r="F215" s="15">
        <f>IF(B215&lt;=0,0,B215-E215)</f>
        <v/>
      </c>
      <c r="G215" s="15">
        <f>IF(B215&lt;=0,G214,G214+D215)</f>
        <v/>
      </c>
    </row>
    <row r="216">
      <c r="A216" t="n">
        <v>213</v>
      </c>
      <c r="B216" s="15">
        <f>IF(F215&lt;=0,0,F215)</f>
        <v/>
      </c>
      <c r="C216" s="15">
        <f>IF(B216&lt;=0,0,MIN(Assumptions!$B$13,B216+D216))</f>
        <v/>
      </c>
      <c r="D216" s="15">
        <f>IF(B216&lt;=0,0,B216*Assumptions!$B$6/12)</f>
        <v/>
      </c>
      <c r="E216" s="15">
        <f>IF(B216&lt;=0,0,C216-D216)</f>
        <v/>
      </c>
      <c r="F216" s="15">
        <f>IF(B216&lt;=0,0,B216-E216)</f>
        <v/>
      </c>
      <c r="G216" s="15">
        <f>IF(B216&lt;=0,G215,G215+D216)</f>
        <v/>
      </c>
    </row>
    <row r="217">
      <c r="A217" t="n">
        <v>214</v>
      </c>
      <c r="B217" s="15">
        <f>IF(F216&lt;=0,0,F216)</f>
        <v/>
      </c>
      <c r="C217" s="15">
        <f>IF(B217&lt;=0,0,MIN(Assumptions!$B$13,B217+D217))</f>
        <v/>
      </c>
      <c r="D217" s="15">
        <f>IF(B217&lt;=0,0,B217*Assumptions!$B$6/12)</f>
        <v/>
      </c>
      <c r="E217" s="15">
        <f>IF(B217&lt;=0,0,C217-D217)</f>
        <v/>
      </c>
      <c r="F217" s="15">
        <f>IF(B217&lt;=0,0,B217-E217)</f>
        <v/>
      </c>
      <c r="G217" s="15">
        <f>IF(B217&lt;=0,G216,G216+D217)</f>
        <v/>
      </c>
    </row>
    <row r="218">
      <c r="A218" t="n">
        <v>215</v>
      </c>
      <c r="B218" s="15">
        <f>IF(F217&lt;=0,0,F217)</f>
        <v/>
      </c>
      <c r="C218" s="15">
        <f>IF(B218&lt;=0,0,MIN(Assumptions!$B$13,B218+D218))</f>
        <v/>
      </c>
      <c r="D218" s="15">
        <f>IF(B218&lt;=0,0,B218*Assumptions!$B$6/12)</f>
        <v/>
      </c>
      <c r="E218" s="15">
        <f>IF(B218&lt;=0,0,C218-D218)</f>
        <v/>
      </c>
      <c r="F218" s="15">
        <f>IF(B218&lt;=0,0,B218-E218)</f>
        <v/>
      </c>
      <c r="G218" s="15">
        <f>IF(B218&lt;=0,G217,G217+D218)</f>
        <v/>
      </c>
    </row>
    <row r="219">
      <c r="A219" t="n">
        <v>216</v>
      </c>
      <c r="B219" s="15">
        <f>IF(F218&lt;=0,0,F218)</f>
        <v/>
      </c>
      <c r="C219" s="15">
        <f>IF(B219&lt;=0,0,MIN(Assumptions!$B$13,B219+D219))</f>
        <v/>
      </c>
      <c r="D219" s="15">
        <f>IF(B219&lt;=0,0,B219*Assumptions!$B$6/12)</f>
        <v/>
      </c>
      <c r="E219" s="15">
        <f>IF(B219&lt;=0,0,C219-D219)</f>
        <v/>
      </c>
      <c r="F219" s="15">
        <f>IF(B219&lt;=0,0,B219-E219)</f>
        <v/>
      </c>
      <c r="G219" s="15">
        <f>IF(B219&lt;=0,G218,G218+D219)</f>
        <v/>
      </c>
    </row>
    <row r="220">
      <c r="A220" t="n">
        <v>217</v>
      </c>
      <c r="B220" s="15">
        <f>IF(F219&lt;=0,0,F219)</f>
        <v/>
      </c>
      <c r="C220" s="15">
        <f>IF(B220&lt;=0,0,MIN(Assumptions!$B$13,B220+D220))</f>
        <v/>
      </c>
      <c r="D220" s="15">
        <f>IF(B220&lt;=0,0,B220*Assumptions!$B$6/12)</f>
        <v/>
      </c>
      <c r="E220" s="15">
        <f>IF(B220&lt;=0,0,C220-D220)</f>
        <v/>
      </c>
      <c r="F220" s="15">
        <f>IF(B220&lt;=0,0,B220-E220)</f>
        <v/>
      </c>
      <c r="G220" s="15">
        <f>IF(B220&lt;=0,G219,G219+D220)</f>
        <v/>
      </c>
    </row>
    <row r="221">
      <c r="A221" t="n">
        <v>218</v>
      </c>
      <c r="B221" s="15">
        <f>IF(F220&lt;=0,0,F220)</f>
        <v/>
      </c>
      <c r="C221" s="15">
        <f>IF(B221&lt;=0,0,MIN(Assumptions!$B$13,B221+D221))</f>
        <v/>
      </c>
      <c r="D221" s="15">
        <f>IF(B221&lt;=0,0,B221*Assumptions!$B$6/12)</f>
        <v/>
      </c>
      <c r="E221" s="15">
        <f>IF(B221&lt;=0,0,C221-D221)</f>
        <v/>
      </c>
      <c r="F221" s="15">
        <f>IF(B221&lt;=0,0,B221-E221)</f>
        <v/>
      </c>
      <c r="G221" s="15">
        <f>IF(B221&lt;=0,G220,G220+D221)</f>
        <v/>
      </c>
    </row>
    <row r="222">
      <c r="A222" t="n">
        <v>219</v>
      </c>
      <c r="B222" s="15">
        <f>IF(F221&lt;=0,0,F221)</f>
        <v/>
      </c>
      <c r="C222" s="15">
        <f>IF(B222&lt;=0,0,MIN(Assumptions!$B$13,B222+D222))</f>
        <v/>
      </c>
      <c r="D222" s="15">
        <f>IF(B222&lt;=0,0,B222*Assumptions!$B$6/12)</f>
        <v/>
      </c>
      <c r="E222" s="15">
        <f>IF(B222&lt;=0,0,C222-D222)</f>
        <v/>
      </c>
      <c r="F222" s="15">
        <f>IF(B222&lt;=0,0,B222-E222)</f>
        <v/>
      </c>
      <c r="G222" s="15">
        <f>IF(B222&lt;=0,G221,G221+D222)</f>
        <v/>
      </c>
    </row>
    <row r="223">
      <c r="A223" t="n">
        <v>220</v>
      </c>
      <c r="B223" s="15">
        <f>IF(F222&lt;=0,0,F222)</f>
        <v/>
      </c>
      <c r="C223" s="15">
        <f>IF(B223&lt;=0,0,MIN(Assumptions!$B$13,B223+D223))</f>
        <v/>
      </c>
      <c r="D223" s="15">
        <f>IF(B223&lt;=0,0,B223*Assumptions!$B$6/12)</f>
        <v/>
      </c>
      <c r="E223" s="15">
        <f>IF(B223&lt;=0,0,C223-D223)</f>
        <v/>
      </c>
      <c r="F223" s="15">
        <f>IF(B223&lt;=0,0,B223-E223)</f>
        <v/>
      </c>
      <c r="G223" s="15">
        <f>IF(B223&lt;=0,G222,G222+D223)</f>
        <v/>
      </c>
    </row>
    <row r="224">
      <c r="A224" t="n">
        <v>221</v>
      </c>
      <c r="B224" s="15">
        <f>IF(F223&lt;=0,0,F223)</f>
        <v/>
      </c>
      <c r="C224" s="15">
        <f>IF(B224&lt;=0,0,MIN(Assumptions!$B$13,B224+D224))</f>
        <v/>
      </c>
      <c r="D224" s="15">
        <f>IF(B224&lt;=0,0,B224*Assumptions!$B$6/12)</f>
        <v/>
      </c>
      <c r="E224" s="15">
        <f>IF(B224&lt;=0,0,C224-D224)</f>
        <v/>
      </c>
      <c r="F224" s="15">
        <f>IF(B224&lt;=0,0,B224-E224)</f>
        <v/>
      </c>
      <c r="G224" s="15">
        <f>IF(B224&lt;=0,G223,G223+D224)</f>
        <v/>
      </c>
    </row>
    <row r="225">
      <c r="A225" t="n">
        <v>222</v>
      </c>
      <c r="B225" s="15">
        <f>IF(F224&lt;=0,0,F224)</f>
        <v/>
      </c>
      <c r="C225" s="15">
        <f>IF(B225&lt;=0,0,MIN(Assumptions!$B$13,B225+D225))</f>
        <v/>
      </c>
      <c r="D225" s="15">
        <f>IF(B225&lt;=0,0,B225*Assumptions!$B$6/12)</f>
        <v/>
      </c>
      <c r="E225" s="15">
        <f>IF(B225&lt;=0,0,C225-D225)</f>
        <v/>
      </c>
      <c r="F225" s="15">
        <f>IF(B225&lt;=0,0,B225-E225)</f>
        <v/>
      </c>
      <c r="G225" s="15">
        <f>IF(B225&lt;=0,G224,G224+D225)</f>
        <v/>
      </c>
    </row>
    <row r="226">
      <c r="A226" t="n">
        <v>223</v>
      </c>
      <c r="B226" s="15">
        <f>IF(F225&lt;=0,0,F225)</f>
        <v/>
      </c>
      <c r="C226" s="15">
        <f>IF(B226&lt;=0,0,MIN(Assumptions!$B$13,B226+D226))</f>
        <v/>
      </c>
      <c r="D226" s="15">
        <f>IF(B226&lt;=0,0,B226*Assumptions!$B$6/12)</f>
        <v/>
      </c>
      <c r="E226" s="15">
        <f>IF(B226&lt;=0,0,C226-D226)</f>
        <v/>
      </c>
      <c r="F226" s="15">
        <f>IF(B226&lt;=0,0,B226-E226)</f>
        <v/>
      </c>
      <c r="G226" s="15">
        <f>IF(B226&lt;=0,G225,G225+D226)</f>
        <v/>
      </c>
    </row>
    <row r="227">
      <c r="A227" t="n">
        <v>224</v>
      </c>
      <c r="B227" s="15">
        <f>IF(F226&lt;=0,0,F226)</f>
        <v/>
      </c>
      <c r="C227" s="15">
        <f>IF(B227&lt;=0,0,MIN(Assumptions!$B$13,B227+D227))</f>
        <v/>
      </c>
      <c r="D227" s="15">
        <f>IF(B227&lt;=0,0,B227*Assumptions!$B$6/12)</f>
        <v/>
      </c>
      <c r="E227" s="15">
        <f>IF(B227&lt;=0,0,C227-D227)</f>
        <v/>
      </c>
      <c r="F227" s="15">
        <f>IF(B227&lt;=0,0,B227-E227)</f>
        <v/>
      </c>
      <c r="G227" s="15">
        <f>IF(B227&lt;=0,G226,G226+D227)</f>
        <v/>
      </c>
    </row>
    <row r="228">
      <c r="A228" t="n">
        <v>225</v>
      </c>
      <c r="B228" s="15">
        <f>IF(F227&lt;=0,0,F227)</f>
        <v/>
      </c>
      <c r="C228" s="15">
        <f>IF(B228&lt;=0,0,MIN(Assumptions!$B$13,B228+D228))</f>
        <v/>
      </c>
      <c r="D228" s="15">
        <f>IF(B228&lt;=0,0,B228*Assumptions!$B$6/12)</f>
        <v/>
      </c>
      <c r="E228" s="15">
        <f>IF(B228&lt;=0,0,C228-D228)</f>
        <v/>
      </c>
      <c r="F228" s="15">
        <f>IF(B228&lt;=0,0,B228-E228)</f>
        <v/>
      </c>
      <c r="G228" s="15">
        <f>IF(B228&lt;=0,G227,G227+D228)</f>
        <v/>
      </c>
    </row>
    <row r="229">
      <c r="A229" t="n">
        <v>226</v>
      </c>
      <c r="B229" s="15">
        <f>IF(F228&lt;=0,0,F228)</f>
        <v/>
      </c>
      <c r="C229" s="15">
        <f>IF(B229&lt;=0,0,MIN(Assumptions!$B$13,B229+D229))</f>
        <v/>
      </c>
      <c r="D229" s="15">
        <f>IF(B229&lt;=0,0,B229*Assumptions!$B$6/12)</f>
        <v/>
      </c>
      <c r="E229" s="15">
        <f>IF(B229&lt;=0,0,C229-D229)</f>
        <v/>
      </c>
      <c r="F229" s="15">
        <f>IF(B229&lt;=0,0,B229-E229)</f>
        <v/>
      </c>
      <c r="G229" s="15">
        <f>IF(B229&lt;=0,G228,G228+D229)</f>
        <v/>
      </c>
    </row>
    <row r="230">
      <c r="A230" t="n">
        <v>227</v>
      </c>
      <c r="B230" s="15">
        <f>IF(F229&lt;=0,0,F229)</f>
        <v/>
      </c>
      <c r="C230" s="15">
        <f>IF(B230&lt;=0,0,MIN(Assumptions!$B$13,B230+D230))</f>
        <v/>
      </c>
      <c r="D230" s="15">
        <f>IF(B230&lt;=0,0,B230*Assumptions!$B$6/12)</f>
        <v/>
      </c>
      <c r="E230" s="15">
        <f>IF(B230&lt;=0,0,C230-D230)</f>
        <v/>
      </c>
      <c r="F230" s="15">
        <f>IF(B230&lt;=0,0,B230-E230)</f>
        <v/>
      </c>
      <c r="G230" s="15">
        <f>IF(B230&lt;=0,G229,G229+D230)</f>
        <v/>
      </c>
    </row>
    <row r="231">
      <c r="A231" t="n">
        <v>228</v>
      </c>
      <c r="B231" s="15">
        <f>IF(F230&lt;=0,0,F230)</f>
        <v/>
      </c>
      <c r="C231" s="15">
        <f>IF(B231&lt;=0,0,MIN(Assumptions!$B$13,B231+D231))</f>
        <v/>
      </c>
      <c r="D231" s="15">
        <f>IF(B231&lt;=0,0,B231*Assumptions!$B$6/12)</f>
        <v/>
      </c>
      <c r="E231" s="15">
        <f>IF(B231&lt;=0,0,C231-D231)</f>
        <v/>
      </c>
      <c r="F231" s="15">
        <f>IF(B231&lt;=0,0,B231-E231)</f>
        <v/>
      </c>
      <c r="G231" s="15">
        <f>IF(B231&lt;=0,G230,G230+D231)</f>
        <v/>
      </c>
    </row>
    <row r="232">
      <c r="A232" t="n">
        <v>229</v>
      </c>
      <c r="B232" s="15">
        <f>IF(F231&lt;=0,0,F231)</f>
        <v/>
      </c>
      <c r="C232" s="15">
        <f>IF(B232&lt;=0,0,MIN(Assumptions!$B$13,B232+D232))</f>
        <v/>
      </c>
      <c r="D232" s="15">
        <f>IF(B232&lt;=0,0,B232*Assumptions!$B$6/12)</f>
        <v/>
      </c>
      <c r="E232" s="15">
        <f>IF(B232&lt;=0,0,C232-D232)</f>
        <v/>
      </c>
      <c r="F232" s="15">
        <f>IF(B232&lt;=0,0,B232-E232)</f>
        <v/>
      </c>
      <c r="G232" s="15">
        <f>IF(B232&lt;=0,G231,G231+D232)</f>
        <v/>
      </c>
    </row>
    <row r="233">
      <c r="A233" t="n">
        <v>230</v>
      </c>
      <c r="B233" s="15">
        <f>IF(F232&lt;=0,0,F232)</f>
        <v/>
      </c>
      <c r="C233" s="15">
        <f>IF(B233&lt;=0,0,MIN(Assumptions!$B$13,B233+D233))</f>
        <v/>
      </c>
      <c r="D233" s="15">
        <f>IF(B233&lt;=0,0,B233*Assumptions!$B$6/12)</f>
        <v/>
      </c>
      <c r="E233" s="15">
        <f>IF(B233&lt;=0,0,C233-D233)</f>
        <v/>
      </c>
      <c r="F233" s="15">
        <f>IF(B233&lt;=0,0,B233-E233)</f>
        <v/>
      </c>
      <c r="G233" s="15">
        <f>IF(B233&lt;=0,G232,G232+D233)</f>
        <v/>
      </c>
    </row>
    <row r="234">
      <c r="A234" t="n">
        <v>231</v>
      </c>
      <c r="B234" s="15">
        <f>IF(F233&lt;=0,0,F233)</f>
        <v/>
      </c>
      <c r="C234" s="15">
        <f>IF(B234&lt;=0,0,MIN(Assumptions!$B$13,B234+D234))</f>
        <v/>
      </c>
      <c r="D234" s="15">
        <f>IF(B234&lt;=0,0,B234*Assumptions!$B$6/12)</f>
        <v/>
      </c>
      <c r="E234" s="15">
        <f>IF(B234&lt;=0,0,C234-D234)</f>
        <v/>
      </c>
      <c r="F234" s="15">
        <f>IF(B234&lt;=0,0,B234-E234)</f>
        <v/>
      </c>
      <c r="G234" s="15">
        <f>IF(B234&lt;=0,G233,G233+D234)</f>
        <v/>
      </c>
    </row>
    <row r="235">
      <c r="A235" t="n">
        <v>232</v>
      </c>
      <c r="B235" s="15">
        <f>IF(F234&lt;=0,0,F234)</f>
        <v/>
      </c>
      <c r="C235" s="15">
        <f>IF(B235&lt;=0,0,MIN(Assumptions!$B$13,B235+D235))</f>
        <v/>
      </c>
      <c r="D235" s="15">
        <f>IF(B235&lt;=0,0,B235*Assumptions!$B$6/12)</f>
        <v/>
      </c>
      <c r="E235" s="15">
        <f>IF(B235&lt;=0,0,C235-D235)</f>
        <v/>
      </c>
      <c r="F235" s="15">
        <f>IF(B235&lt;=0,0,B235-E235)</f>
        <v/>
      </c>
      <c r="G235" s="15">
        <f>IF(B235&lt;=0,G234,G234+D235)</f>
        <v/>
      </c>
    </row>
    <row r="236">
      <c r="A236" t="n">
        <v>233</v>
      </c>
      <c r="B236" s="15">
        <f>IF(F235&lt;=0,0,F235)</f>
        <v/>
      </c>
      <c r="C236" s="15">
        <f>IF(B236&lt;=0,0,MIN(Assumptions!$B$13,B236+D236))</f>
        <v/>
      </c>
      <c r="D236" s="15">
        <f>IF(B236&lt;=0,0,B236*Assumptions!$B$6/12)</f>
        <v/>
      </c>
      <c r="E236" s="15">
        <f>IF(B236&lt;=0,0,C236-D236)</f>
        <v/>
      </c>
      <c r="F236" s="15">
        <f>IF(B236&lt;=0,0,B236-E236)</f>
        <v/>
      </c>
      <c r="G236" s="15">
        <f>IF(B236&lt;=0,G235,G235+D236)</f>
        <v/>
      </c>
    </row>
    <row r="237">
      <c r="A237" t="n">
        <v>234</v>
      </c>
      <c r="B237" s="15">
        <f>IF(F236&lt;=0,0,F236)</f>
        <v/>
      </c>
      <c r="C237" s="15">
        <f>IF(B237&lt;=0,0,MIN(Assumptions!$B$13,B237+D237))</f>
        <v/>
      </c>
      <c r="D237" s="15">
        <f>IF(B237&lt;=0,0,B237*Assumptions!$B$6/12)</f>
        <v/>
      </c>
      <c r="E237" s="15">
        <f>IF(B237&lt;=0,0,C237-D237)</f>
        <v/>
      </c>
      <c r="F237" s="15">
        <f>IF(B237&lt;=0,0,B237-E237)</f>
        <v/>
      </c>
      <c r="G237" s="15">
        <f>IF(B237&lt;=0,G236,G236+D237)</f>
        <v/>
      </c>
    </row>
    <row r="238">
      <c r="A238" t="n">
        <v>235</v>
      </c>
      <c r="B238" s="15">
        <f>IF(F237&lt;=0,0,F237)</f>
        <v/>
      </c>
      <c r="C238" s="15">
        <f>IF(B238&lt;=0,0,MIN(Assumptions!$B$13,B238+D238))</f>
        <v/>
      </c>
      <c r="D238" s="15">
        <f>IF(B238&lt;=0,0,B238*Assumptions!$B$6/12)</f>
        <v/>
      </c>
      <c r="E238" s="15">
        <f>IF(B238&lt;=0,0,C238-D238)</f>
        <v/>
      </c>
      <c r="F238" s="15">
        <f>IF(B238&lt;=0,0,B238-E238)</f>
        <v/>
      </c>
      <c r="G238" s="15">
        <f>IF(B238&lt;=0,G237,G237+D238)</f>
        <v/>
      </c>
    </row>
    <row r="239">
      <c r="A239" t="n">
        <v>236</v>
      </c>
      <c r="B239" s="15">
        <f>IF(F238&lt;=0,0,F238)</f>
        <v/>
      </c>
      <c r="C239" s="15">
        <f>IF(B239&lt;=0,0,MIN(Assumptions!$B$13,B239+D239))</f>
        <v/>
      </c>
      <c r="D239" s="15">
        <f>IF(B239&lt;=0,0,B239*Assumptions!$B$6/12)</f>
        <v/>
      </c>
      <c r="E239" s="15">
        <f>IF(B239&lt;=0,0,C239-D239)</f>
        <v/>
      </c>
      <c r="F239" s="15">
        <f>IF(B239&lt;=0,0,B239-E239)</f>
        <v/>
      </c>
      <c r="G239" s="15">
        <f>IF(B239&lt;=0,G238,G238+D239)</f>
        <v/>
      </c>
    </row>
    <row r="240">
      <c r="A240" t="n">
        <v>237</v>
      </c>
      <c r="B240" s="15">
        <f>IF(F239&lt;=0,0,F239)</f>
        <v/>
      </c>
      <c r="C240" s="15">
        <f>IF(B240&lt;=0,0,MIN(Assumptions!$B$13,B240+D240))</f>
        <v/>
      </c>
      <c r="D240" s="15">
        <f>IF(B240&lt;=0,0,B240*Assumptions!$B$6/12)</f>
        <v/>
      </c>
      <c r="E240" s="15">
        <f>IF(B240&lt;=0,0,C240-D240)</f>
        <v/>
      </c>
      <c r="F240" s="15">
        <f>IF(B240&lt;=0,0,B240-E240)</f>
        <v/>
      </c>
      <c r="G240" s="15">
        <f>IF(B240&lt;=0,G239,G239+D240)</f>
        <v/>
      </c>
    </row>
    <row r="241">
      <c r="A241" t="n">
        <v>238</v>
      </c>
      <c r="B241" s="15">
        <f>IF(F240&lt;=0,0,F240)</f>
        <v/>
      </c>
      <c r="C241" s="15">
        <f>IF(B241&lt;=0,0,MIN(Assumptions!$B$13,B241+D241))</f>
        <v/>
      </c>
      <c r="D241" s="15">
        <f>IF(B241&lt;=0,0,B241*Assumptions!$B$6/12)</f>
        <v/>
      </c>
      <c r="E241" s="15">
        <f>IF(B241&lt;=0,0,C241-D241)</f>
        <v/>
      </c>
      <c r="F241" s="15">
        <f>IF(B241&lt;=0,0,B241-E241)</f>
        <v/>
      </c>
      <c r="G241" s="15">
        <f>IF(B241&lt;=0,G240,G240+D241)</f>
        <v/>
      </c>
    </row>
    <row r="242">
      <c r="A242" t="n">
        <v>239</v>
      </c>
      <c r="B242" s="15">
        <f>IF(F241&lt;=0,0,F241)</f>
        <v/>
      </c>
      <c r="C242" s="15">
        <f>IF(B242&lt;=0,0,MIN(Assumptions!$B$13,B242+D242))</f>
        <v/>
      </c>
      <c r="D242" s="15">
        <f>IF(B242&lt;=0,0,B242*Assumptions!$B$6/12)</f>
        <v/>
      </c>
      <c r="E242" s="15">
        <f>IF(B242&lt;=0,0,C242-D242)</f>
        <v/>
      </c>
      <c r="F242" s="15">
        <f>IF(B242&lt;=0,0,B242-E242)</f>
        <v/>
      </c>
      <c r="G242" s="15">
        <f>IF(B242&lt;=0,G241,G241+D242)</f>
        <v/>
      </c>
    </row>
    <row r="243">
      <c r="A243" t="n">
        <v>240</v>
      </c>
      <c r="B243" s="15">
        <f>IF(F242&lt;=0,0,F242)</f>
        <v/>
      </c>
      <c r="C243" s="15">
        <f>IF(B243&lt;=0,0,MIN(Assumptions!$B$13,B243+D243))</f>
        <v/>
      </c>
      <c r="D243" s="15">
        <f>IF(B243&lt;=0,0,B243*Assumptions!$B$6/12)</f>
        <v/>
      </c>
      <c r="E243" s="15">
        <f>IF(B243&lt;=0,0,C243-D243)</f>
        <v/>
      </c>
      <c r="F243" s="15">
        <f>IF(B243&lt;=0,0,B243-E243)</f>
        <v/>
      </c>
      <c r="G243" s="15">
        <f>IF(B243&lt;=0,G242,G242+D243)</f>
        <v/>
      </c>
    </row>
    <row r="244">
      <c r="A244" t="n">
        <v>241</v>
      </c>
      <c r="B244" s="15">
        <f>IF(F243&lt;=0,0,F243)</f>
        <v/>
      </c>
      <c r="C244" s="15">
        <f>IF(B244&lt;=0,0,MIN(Assumptions!$B$13,B244+D244))</f>
        <v/>
      </c>
      <c r="D244" s="15">
        <f>IF(B244&lt;=0,0,B244*Assumptions!$B$6/12)</f>
        <v/>
      </c>
      <c r="E244" s="15">
        <f>IF(B244&lt;=0,0,C244-D244)</f>
        <v/>
      </c>
      <c r="F244" s="15">
        <f>IF(B244&lt;=0,0,B244-E244)</f>
        <v/>
      </c>
      <c r="G244" s="15">
        <f>IF(B244&lt;=0,G243,G243+D244)</f>
        <v/>
      </c>
    </row>
    <row r="245">
      <c r="A245" t="n">
        <v>242</v>
      </c>
      <c r="B245" s="15">
        <f>IF(F244&lt;=0,0,F244)</f>
        <v/>
      </c>
      <c r="C245" s="15">
        <f>IF(B245&lt;=0,0,MIN(Assumptions!$B$13,B245+D245))</f>
        <v/>
      </c>
      <c r="D245" s="15">
        <f>IF(B245&lt;=0,0,B245*Assumptions!$B$6/12)</f>
        <v/>
      </c>
      <c r="E245" s="15">
        <f>IF(B245&lt;=0,0,C245-D245)</f>
        <v/>
      </c>
      <c r="F245" s="15">
        <f>IF(B245&lt;=0,0,B245-E245)</f>
        <v/>
      </c>
      <c r="G245" s="15">
        <f>IF(B245&lt;=0,G244,G244+D245)</f>
        <v/>
      </c>
    </row>
    <row r="246">
      <c r="A246" t="n">
        <v>243</v>
      </c>
      <c r="B246" s="15">
        <f>IF(F245&lt;=0,0,F245)</f>
        <v/>
      </c>
      <c r="C246" s="15">
        <f>IF(B246&lt;=0,0,MIN(Assumptions!$B$13,B246+D246))</f>
        <v/>
      </c>
      <c r="D246" s="15">
        <f>IF(B246&lt;=0,0,B246*Assumptions!$B$6/12)</f>
        <v/>
      </c>
      <c r="E246" s="15">
        <f>IF(B246&lt;=0,0,C246-D246)</f>
        <v/>
      </c>
      <c r="F246" s="15">
        <f>IF(B246&lt;=0,0,B246-E246)</f>
        <v/>
      </c>
      <c r="G246" s="15">
        <f>IF(B246&lt;=0,G245,G245+D246)</f>
        <v/>
      </c>
    </row>
    <row r="247">
      <c r="A247" t="n">
        <v>244</v>
      </c>
      <c r="B247" s="15">
        <f>IF(F246&lt;=0,0,F246)</f>
        <v/>
      </c>
      <c r="C247" s="15">
        <f>IF(B247&lt;=0,0,MIN(Assumptions!$B$13,B247+D247))</f>
        <v/>
      </c>
      <c r="D247" s="15">
        <f>IF(B247&lt;=0,0,B247*Assumptions!$B$6/12)</f>
        <v/>
      </c>
      <c r="E247" s="15">
        <f>IF(B247&lt;=0,0,C247-D247)</f>
        <v/>
      </c>
      <c r="F247" s="15">
        <f>IF(B247&lt;=0,0,B247-E247)</f>
        <v/>
      </c>
      <c r="G247" s="15">
        <f>IF(B247&lt;=0,G246,G246+D247)</f>
        <v/>
      </c>
    </row>
    <row r="248">
      <c r="A248" t="n">
        <v>245</v>
      </c>
      <c r="B248" s="15">
        <f>IF(F247&lt;=0,0,F247)</f>
        <v/>
      </c>
      <c r="C248" s="15">
        <f>IF(B248&lt;=0,0,MIN(Assumptions!$B$13,B248+D248))</f>
        <v/>
      </c>
      <c r="D248" s="15">
        <f>IF(B248&lt;=0,0,B248*Assumptions!$B$6/12)</f>
        <v/>
      </c>
      <c r="E248" s="15">
        <f>IF(B248&lt;=0,0,C248-D248)</f>
        <v/>
      </c>
      <c r="F248" s="15">
        <f>IF(B248&lt;=0,0,B248-E248)</f>
        <v/>
      </c>
      <c r="G248" s="15">
        <f>IF(B248&lt;=0,G247,G247+D248)</f>
        <v/>
      </c>
    </row>
    <row r="249">
      <c r="A249" t="n">
        <v>246</v>
      </c>
      <c r="B249" s="15">
        <f>IF(F248&lt;=0,0,F248)</f>
        <v/>
      </c>
      <c r="C249" s="15">
        <f>IF(B249&lt;=0,0,MIN(Assumptions!$B$13,B249+D249))</f>
        <v/>
      </c>
      <c r="D249" s="15">
        <f>IF(B249&lt;=0,0,B249*Assumptions!$B$6/12)</f>
        <v/>
      </c>
      <c r="E249" s="15">
        <f>IF(B249&lt;=0,0,C249-D249)</f>
        <v/>
      </c>
      <c r="F249" s="15">
        <f>IF(B249&lt;=0,0,B249-E249)</f>
        <v/>
      </c>
      <c r="G249" s="15">
        <f>IF(B249&lt;=0,G248,G248+D249)</f>
        <v/>
      </c>
    </row>
    <row r="250">
      <c r="A250" t="n">
        <v>247</v>
      </c>
      <c r="B250" s="15">
        <f>IF(F249&lt;=0,0,F249)</f>
        <v/>
      </c>
      <c r="C250" s="15">
        <f>IF(B250&lt;=0,0,MIN(Assumptions!$B$13,B250+D250))</f>
        <v/>
      </c>
      <c r="D250" s="15">
        <f>IF(B250&lt;=0,0,B250*Assumptions!$B$6/12)</f>
        <v/>
      </c>
      <c r="E250" s="15">
        <f>IF(B250&lt;=0,0,C250-D250)</f>
        <v/>
      </c>
      <c r="F250" s="15">
        <f>IF(B250&lt;=0,0,B250-E250)</f>
        <v/>
      </c>
      <c r="G250" s="15">
        <f>IF(B250&lt;=0,G249,G249+D250)</f>
        <v/>
      </c>
    </row>
    <row r="251">
      <c r="A251" t="n">
        <v>248</v>
      </c>
      <c r="B251" s="15">
        <f>IF(F250&lt;=0,0,F250)</f>
        <v/>
      </c>
      <c r="C251" s="15">
        <f>IF(B251&lt;=0,0,MIN(Assumptions!$B$13,B251+D251))</f>
        <v/>
      </c>
      <c r="D251" s="15">
        <f>IF(B251&lt;=0,0,B251*Assumptions!$B$6/12)</f>
        <v/>
      </c>
      <c r="E251" s="15">
        <f>IF(B251&lt;=0,0,C251-D251)</f>
        <v/>
      </c>
      <c r="F251" s="15">
        <f>IF(B251&lt;=0,0,B251-E251)</f>
        <v/>
      </c>
      <c r="G251" s="15">
        <f>IF(B251&lt;=0,G250,G250+D251)</f>
        <v/>
      </c>
    </row>
    <row r="252">
      <c r="A252" t="n">
        <v>249</v>
      </c>
      <c r="B252" s="15">
        <f>IF(F251&lt;=0,0,F251)</f>
        <v/>
      </c>
      <c r="C252" s="15">
        <f>IF(B252&lt;=0,0,MIN(Assumptions!$B$13,B252+D252))</f>
        <v/>
      </c>
      <c r="D252" s="15">
        <f>IF(B252&lt;=0,0,B252*Assumptions!$B$6/12)</f>
        <v/>
      </c>
      <c r="E252" s="15">
        <f>IF(B252&lt;=0,0,C252-D252)</f>
        <v/>
      </c>
      <c r="F252" s="15">
        <f>IF(B252&lt;=0,0,B252-E252)</f>
        <v/>
      </c>
      <c r="G252" s="15">
        <f>IF(B252&lt;=0,G251,G251+D252)</f>
        <v/>
      </c>
    </row>
    <row r="253">
      <c r="A253" t="n">
        <v>250</v>
      </c>
      <c r="B253" s="15">
        <f>IF(F252&lt;=0,0,F252)</f>
        <v/>
      </c>
      <c r="C253" s="15">
        <f>IF(B253&lt;=0,0,MIN(Assumptions!$B$13,B253+D253))</f>
        <v/>
      </c>
      <c r="D253" s="15">
        <f>IF(B253&lt;=0,0,B253*Assumptions!$B$6/12)</f>
        <v/>
      </c>
      <c r="E253" s="15">
        <f>IF(B253&lt;=0,0,C253-D253)</f>
        <v/>
      </c>
      <c r="F253" s="15">
        <f>IF(B253&lt;=0,0,B253-E253)</f>
        <v/>
      </c>
      <c r="G253" s="15">
        <f>IF(B253&lt;=0,G252,G252+D253)</f>
        <v/>
      </c>
    </row>
    <row r="254">
      <c r="A254" t="n">
        <v>251</v>
      </c>
      <c r="B254" s="15">
        <f>IF(F253&lt;=0,0,F253)</f>
        <v/>
      </c>
      <c r="C254" s="15">
        <f>IF(B254&lt;=0,0,MIN(Assumptions!$B$13,B254+D254))</f>
        <v/>
      </c>
      <c r="D254" s="15">
        <f>IF(B254&lt;=0,0,B254*Assumptions!$B$6/12)</f>
        <v/>
      </c>
      <c r="E254" s="15">
        <f>IF(B254&lt;=0,0,C254-D254)</f>
        <v/>
      </c>
      <c r="F254" s="15">
        <f>IF(B254&lt;=0,0,B254-E254)</f>
        <v/>
      </c>
      <c r="G254" s="15">
        <f>IF(B254&lt;=0,G253,G253+D254)</f>
        <v/>
      </c>
    </row>
    <row r="255">
      <c r="A255" t="n">
        <v>252</v>
      </c>
      <c r="B255" s="15">
        <f>IF(F254&lt;=0,0,F254)</f>
        <v/>
      </c>
      <c r="C255" s="15">
        <f>IF(B255&lt;=0,0,MIN(Assumptions!$B$13,B255+D255))</f>
        <v/>
      </c>
      <c r="D255" s="15">
        <f>IF(B255&lt;=0,0,B255*Assumptions!$B$6/12)</f>
        <v/>
      </c>
      <c r="E255" s="15">
        <f>IF(B255&lt;=0,0,C255-D255)</f>
        <v/>
      </c>
      <c r="F255" s="15">
        <f>IF(B255&lt;=0,0,B255-E255)</f>
        <v/>
      </c>
      <c r="G255" s="15">
        <f>IF(B255&lt;=0,G254,G254+D255)</f>
        <v/>
      </c>
    </row>
    <row r="256">
      <c r="A256" t="n">
        <v>253</v>
      </c>
      <c r="B256" s="15">
        <f>IF(F255&lt;=0,0,F255)</f>
        <v/>
      </c>
      <c r="C256" s="15">
        <f>IF(B256&lt;=0,0,MIN(Assumptions!$B$13,B256+D256))</f>
        <v/>
      </c>
      <c r="D256" s="15">
        <f>IF(B256&lt;=0,0,B256*Assumptions!$B$6/12)</f>
        <v/>
      </c>
      <c r="E256" s="15">
        <f>IF(B256&lt;=0,0,C256-D256)</f>
        <v/>
      </c>
      <c r="F256" s="15">
        <f>IF(B256&lt;=0,0,B256-E256)</f>
        <v/>
      </c>
      <c r="G256" s="15">
        <f>IF(B256&lt;=0,G255,G255+D256)</f>
        <v/>
      </c>
    </row>
    <row r="257">
      <c r="A257" t="n">
        <v>254</v>
      </c>
      <c r="B257" s="15">
        <f>IF(F256&lt;=0,0,F256)</f>
        <v/>
      </c>
      <c r="C257" s="15">
        <f>IF(B257&lt;=0,0,MIN(Assumptions!$B$13,B257+D257))</f>
        <v/>
      </c>
      <c r="D257" s="15">
        <f>IF(B257&lt;=0,0,B257*Assumptions!$B$6/12)</f>
        <v/>
      </c>
      <c r="E257" s="15">
        <f>IF(B257&lt;=0,0,C257-D257)</f>
        <v/>
      </c>
      <c r="F257" s="15">
        <f>IF(B257&lt;=0,0,B257-E257)</f>
        <v/>
      </c>
      <c r="G257" s="15">
        <f>IF(B257&lt;=0,G256,G256+D257)</f>
        <v/>
      </c>
    </row>
    <row r="258">
      <c r="A258" t="n">
        <v>255</v>
      </c>
      <c r="B258" s="15">
        <f>IF(F257&lt;=0,0,F257)</f>
        <v/>
      </c>
      <c r="C258" s="15">
        <f>IF(B258&lt;=0,0,MIN(Assumptions!$B$13,B258+D258))</f>
        <v/>
      </c>
      <c r="D258" s="15">
        <f>IF(B258&lt;=0,0,B258*Assumptions!$B$6/12)</f>
        <v/>
      </c>
      <c r="E258" s="15">
        <f>IF(B258&lt;=0,0,C258-D258)</f>
        <v/>
      </c>
      <c r="F258" s="15">
        <f>IF(B258&lt;=0,0,B258-E258)</f>
        <v/>
      </c>
      <c r="G258" s="15">
        <f>IF(B258&lt;=0,G257,G257+D258)</f>
        <v/>
      </c>
    </row>
    <row r="259">
      <c r="A259" t="n">
        <v>256</v>
      </c>
      <c r="B259" s="15">
        <f>IF(F258&lt;=0,0,F258)</f>
        <v/>
      </c>
      <c r="C259" s="15">
        <f>IF(B259&lt;=0,0,MIN(Assumptions!$B$13,B259+D259))</f>
        <v/>
      </c>
      <c r="D259" s="15">
        <f>IF(B259&lt;=0,0,B259*Assumptions!$B$6/12)</f>
        <v/>
      </c>
      <c r="E259" s="15">
        <f>IF(B259&lt;=0,0,C259-D259)</f>
        <v/>
      </c>
      <c r="F259" s="15">
        <f>IF(B259&lt;=0,0,B259-E259)</f>
        <v/>
      </c>
      <c r="G259" s="15">
        <f>IF(B259&lt;=0,G258,G258+D259)</f>
        <v/>
      </c>
    </row>
    <row r="260">
      <c r="A260" t="n">
        <v>257</v>
      </c>
      <c r="B260" s="15">
        <f>IF(F259&lt;=0,0,F259)</f>
        <v/>
      </c>
      <c r="C260" s="15">
        <f>IF(B260&lt;=0,0,MIN(Assumptions!$B$13,B260+D260))</f>
        <v/>
      </c>
      <c r="D260" s="15">
        <f>IF(B260&lt;=0,0,B260*Assumptions!$B$6/12)</f>
        <v/>
      </c>
      <c r="E260" s="15">
        <f>IF(B260&lt;=0,0,C260-D260)</f>
        <v/>
      </c>
      <c r="F260" s="15">
        <f>IF(B260&lt;=0,0,B260-E260)</f>
        <v/>
      </c>
      <c r="G260" s="15">
        <f>IF(B260&lt;=0,G259,G259+D260)</f>
        <v/>
      </c>
    </row>
    <row r="261">
      <c r="A261" t="n">
        <v>258</v>
      </c>
      <c r="B261" s="15">
        <f>IF(F260&lt;=0,0,F260)</f>
        <v/>
      </c>
      <c r="C261" s="15">
        <f>IF(B261&lt;=0,0,MIN(Assumptions!$B$13,B261+D261))</f>
        <v/>
      </c>
      <c r="D261" s="15">
        <f>IF(B261&lt;=0,0,B261*Assumptions!$B$6/12)</f>
        <v/>
      </c>
      <c r="E261" s="15">
        <f>IF(B261&lt;=0,0,C261-D261)</f>
        <v/>
      </c>
      <c r="F261" s="15">
        <f>IF(B261&lt;=0,0,B261-E261)</f>
        <v/>
      </c>
      <c r="G261" s="15">
        <f>IF(B261&lt;=0,G260,G260+D261)</f>
        <v/>
      </c>
    </row>
    <row r="262">
      <c r="A262" t="n">
        <v>259</v>
      </c>
      <c r="B262" s="15">
        <f>IF(F261&lt;=0,0,F261)</f>
        <v/>
      </c>
      <c r="C262" s="15">
        <f>IF(B262&lt;=0,0,MIN(Assumptions!$B$13,B262+D262))</f>
        <v/>
      </c>
      <c r="D262" s="15">
        <f>IF(B262&lt;=0,0,B262*Assumptions!$B$6/12)</f>
        <v/>
      </c>
      <c r="E262" s="15">
        <f>IF(B262&lt;=0,0,C262-D262)</f>
        <v/>
      </c>
      <c r="F262" s="15">
        <f>IF(B262&lt;=0,0,B262-E262)</f>
        <v/>
      </c>
      <c r="G262" s="15">
        <f>IF(B262&lt;=0,G261,G261+D262)</f>
        <v/>
      </c>
    </row>
    <row r="263">
      <c r="A263" t="n">
        <v>260</v>
      </c>
      <c r="B263" s="15">
        <f>IF(F262&lt;=0,0,F262)</f>
        <v/>
      </c>
      <c r="C263" s="15">
        <f>IF(B263&lt;=0,0,MIN(Assumptions!$B$13,B263+D263))</f>
        <v/>
      </c>
      <c r="D263" s="15">
        <f>IF(B263&lt;=0,0,B263*Assumptions!$B$6/12)</f>
        <v/>
      </c>
      <c r="E263" s="15">
        <f>IF(B263&lt;=0,0,C263-D263)</f>
        <v/>
      </c>
      <c r="F263" s="15">
        <f>IF(B263&lt;=0,0,B263-E263)</f>
        <v/>
      </c>
      <c r="G263" s="15">
        <f>IF(B263&lt;=0,G262,G262+D263)</f>
        <v/>
      </c>
    </row>
    <row r="264">
      <c r="A264" t="n">
        <v>261</v>
      </c>
      <c r="B264" s="15">
        <f>IF(F263&lt;=0,0,F263)</f>
        <v/>
      </c>
      <c r="C264" s="15">
        <f>IF(B264&lt;=0,0,MIN(Assumptions!$B$13,B264+D264))</f>
        <v/>
      </c>
      <c r="D264" s="15">
        <f>IF(B264&lt;=0,0,B264*Assumptions!$B$6/12)</f>
        <v/>
      </c>
      <c r="E264" s="15">
        <f>IF(B264&lt;=0,0,C264-D264)</f>
        <v/>
      </c>
      <c r="F264" s="15">
        <f>IF(B264&lt;=0,0,B264-E264)</f>
        <v/>
      </c>
      <c r="G264" s="15">
        <f>IF(B264&lt;=0,G263,G263+D264)</f>
        <v/>
      </c>
    </row>
    <row r="265">
      <c r="A265" t="n">
        <v>262</v>
      </c>
      <c r="B265" s="15">
        <f>IF(F264&lt;=0,0,F264)</f>
        <v/>
      </c>
      <c r="C265" s="15">
        <f>IF(B265&lt;=0,0,MIN(Assumptions!$B$13,B265+D265))</f>
        <v/>
      </c>
      <c r="D265" s="15">
        <f>IF(B265&lt;=0,0,B265*Assumptions!$B$6/12)</f>
        <v/>
      </c>
      <c r="E265" s="15">
        <f>IF(B265&lt;=0,0,C265-D265)</f>
        <v/>
      </c>
      <c r="F265" s="15">
        <f>IF(B265&lt;=0,0,B265-E265)</f>
        <v/>
      </c>
      <c r="G265" s="15">
        <f>IF(B265&lt;=0,G264,G264+D265)</f>
        <v/>
      </c>
    </row>
    <row r="266">
      <c r="A266" t="n">
        <v>263</v>
      </c>
      <c r="B266" s="15">
        <f>IF(F265&lt;=0,0,F265)</f>
        <v/>
      </c>
      <c r="C266" s="15">
        <f>IF(B266&lt;=0,0,MIN(Assumptions!$B$13,B266+D266))</f>
        <v/>
      </c>
      <c r="D266" s="15">
        <f>IF(B266&lt;=0,0,B266*Assumptions!$B$6/12)</f>
        <v/>
      </c>
      <c r="E266" s="15">
        <f>IF(B266&lt;=0,0,C266-D266)</f>
        <v/>
      </c>
      <c r="F266" s="15">
        <f>IF(B266&lt;=0,0,B266-E266)</f>
        <v/>
      </c>
      <c r="G266" s="15">
        <f>IF(B266&lt;=0,G265,G265+D266)</f>
        <v/>
      </c>
    </row>
    <row r="267">
      <c r="A267" t="n">
        <v>264</v>
      </c>
      <c r="B267" s="15">
        <f>IF(F266&lt;=0,0,F266)</f>
        <v/>
      </c>
      <c r="C267" s="15">
        <f>IF(B267&lt;=0,0,MIN(Assumptions!$B$13,B267+D267))</f>
        <v/>
      </c>
      <c r="D267" s="15">
        <f>IF(B267&lt;=0,0,B267*Assumptions!$B$6/12)</f>
        <v/>
      </c>
      <c r="E267" s="15">
        <f>IF(B267&lt;=0,0,C267-D267)</f>
        <v/>
      </c>
      <c r="F267" s="15">
        <f>IF(B267&lt;=0,0,B267-E267)</f>
        <v/>
      </c>
      <c r="G267" s="15">
        <f>IF(B267&lt;=0,G266,G266+D267)</f>
        <v/>
      </c>
    </row>
    <row r="268">
      <c r="A268" t="n">
        <v>265</v>
      </c>
      <c r="B268" s="15">
        <f>IF(F267&lt;=0,0,F267)</f>
        <v/>
      </c>
      <c r="C268" s="15">
        <f>IF(B268&lt;=0,0,MIN(Assumptions!$B$13,B268+D268))</f>
        <v/>
      </c>
      <c r="D268" s="15">
        <f>IF(B268&lt;=0,0,B268*Assumptions!$B$6/12)</f>
        <v/>
      </c>
      <c r="E268" s="15">
        <f>IF(B268&lt;=0,0,C268-D268)</f>
        <v/>
      </c>
      <c r="F268" s="15">
        <f>IF(B268&lt;=0,0,B268-E268)</f>
        <v/>
      </c>
      <c r="G268" s="15">
        <f>IF(B268&lt;=0,G267,G267+D268)</f>
        <v/>
      </c>
    </row>
    <row r="269">
      <c r="A269" t="n">
        <v>266</v>
      </c>
      <c r="B269" s="15">
        <f>IF(F268&lt;=0,0,F268)</f>
        <v/>
      </c>
      <c r="C269" s="15">
        <f>IF(B269&lt;=0,0,MIN(Assumptions!$B$13,B269+D269))</f>
        <v/>
      </c>
      <c r="D269" s="15">
        <f>IF(B269&lt;=0,0,B269*Assumptions!$B$6/12)</f>
        <v/>
      </c>
      <c r="E269" s="15">
        <f>IF(B269&lt;=0,0,C269-D269)</f>
        <v/>
      </c>
      <c r="F269" s="15">
        <f>IF(B269&lt;=0,0,B269-E269)</f>
        <v/>
      </c>
      <c r="G269" s="15">
        <f>IF(B269&lt;=0,G268,G268+D269)</f>
        <v/>
      </c>
    </row>
    <row r="270">
      <c r="A270" t="n">
        <v>267</v>
      </c>
      <c r="B270" s="15">
        <f>IF(F269&lt;=0,0,F269)</f>
        <v/>
      </c>
      <c r="C270" s="15">
        <f>IF(B270&lt;=0,0,MIN(Assumptions!$B$13,B270+D270))</f>
        <v/>
      </c>
      <c r="D270" s="15">
        <f>IF(B270&lt;=0,0,B270*Assumptions!$B$6/12)</f>
        <v/>
      </c>
      <c r="E270" s="15">
        <f>IF(B270&lt;=0,0,C270-D270)</f>
        <v/>
      </c>
      <c r="F270" s="15">
        <f>IF(B270&lt;=0,0,B270-E270)</f>
        <v/>
      </c>
      <c r="G270" s="15">
        <f>IF(B270&lt;=0,G269,G269+D270)</f>
        <v/>
      </c>
    </row>
    <row r="271">
      <c r="A271" t="n">
        <v>268</v>
      </c>
      <c r="B271" s="15">
        <f>IF(F270&lt;=0,0,F270)</f>
        <v/>
      </c>
      <c r="C271" s="15">
        <f>IF(B271&lt;=0,0,MIN(Assumptions!$B$13,B271+D271))</f>
        <v/>
      </c>
      <c r="D271" s="15">
        <f>IF(B271&lt;=0,0,B271*Assumptions!$B$6/12)</f>
        <v/>
      </c>
      <c r="E271" s="15">
        <f>IF(B271&lt;=0,0,C271-D271)</f>
        <v/>
      </c>
      <c r="F271" s="15">
        <f>IF(B271&lt;=0,0,B271-E271)</f>
        <v/>
      </c>
      <c r="G271" s="15">
        <f>IF(B271&lt;=0,G270,G270+D271)</f>
        <v/>
      </c>
    </row>
    <row r="272">
      <c r="A272" t="n">
        <v>269</v>
      </c>
      <c r="B272" s="15">
        <f>IF(F271&lt;=0,0,F271)</f>
        <v/>
      </c>
      <c r="C272" s="15">
        <f>IF(B272&lt;=0,0,MIN(Assumptions!$B$13,B272+D272))</f>
        <v/>
      </c>
      <c r="D272" s="15">
        <f>IF(B272&lt;=0,0,B272*Assumptions!$B$6/12)</f>
        <v/>
      </c>
      <c r="E272" s="15">
        <f>IF(B272&lt;=0,0,C272-D272)</f>
        <v/>
      </c>
      <c r="F272" s="15">
        <f>IF(B272&lt;=0,0,B272-E272)</f>
        <v/>
      </c>
      <c r="G272" s="15">
        <f>IF(B272&lt;=0,G271,G271+D272)</f>
        <v/>
      </c>
    </row>
    <row r="273">
      <c r="A273" t="n">
        <v>270</v>
      </c>
      <c r="B273" s="15">
        <f>IF(F272&lt;=0,0,F272)</f>
        <v/>
      </c>
      <c r="C273" s="15">
        <f>IF(B273&lt;=0,0,MIN(Assumptions!$B$13,B273+D273))</f>
        <v/>
      </c>
      <c r="D273" s="15">
        <f>IF(B273&lt;=0,0,B273*Assumptions!$B$6/12)</f>
        <v/>
      </c>
      <c r="E273" s="15">
        <f>IF(B273&lt;=0,0,C273-D273)</f>
        <v/>
      </c>
      <c r="F273" s="15">
        <f>IF(B273&lt;=0,0,B273-E273)</f>
        <v/>
      </c>
      <c r="G273" s="15">
        <f>IF(B273&lt;=0,G272,G272+D273)</f>
        <v/>
      </c>
    </row>
    <row r="274">
      <c r="A274" t="n">
        <v>271</v>
      </c>
      <c r="B274" s="15">
        <f>IF(F273&lt;=0,0,F273)</f>
        <v/>
      </c>
      <c r="C274" s="15">
        <f>IF(B274&lt;=0,0,MIN(Assumptions!$B$13,B274+D274))</f>
        <v/>
      </c>
      <c r="D274" s="15">
        <f>IF(B274&lt;=0,0,B274*Assumptions!$B$6/12)</f>
        <v/>
      </c>
      <c r="E274" s="15">
        <f>IF(B274&lt;=0,0,C274-D274)</f>
        <v/>
      </c>
      <c r="F274" s="15">
        <f>IF(B274&lt;=0,0,B274-E274)</f>
        <v/>
      </c>
      <c r="G274" s="15">
        <f>IF(B274&lt;=0,G273,G273+D274)</f>
        <v/>
      </c>
    </row>
    <row r="275">
      <c r="A275" t="n">
        <v>272</v>
      </c>
      <c r="B275" s="15">
        <f>IF(F274&lt;=0,0,F274)</f>
        <v/>
      </c>
      <c r="C275" s="15">
        <f>IF(B275&lt;=0,0,MIN(Assumptions!$B$13,B275+D275))</f>
        <v/>
      </c>
      <c r="D275" s="15">
        <f>IF(B275&lt;=0,0,B275*Assumptions!$B$6/12)</f>
        <v/>
      </c>
      <c r="E275" s="15">
        <f>IF(B275&lt;=0,0,C275-D275)</f>
        <v/>
      </c>
      <c r="F275" s="15">
        <f>IF(B275&lt;=0,0,B275-E275)</f>
        <v/>
      </c>
      <c r="G275" s="15">
        <f>IF(B275&lt;=0,G274,G274+D275)</f>
        <v/>
      </c>
    </row>
    <row r="276">
      <c r="A276" t="n">
        <v>273</v>
      </c>
      <c r="B276" s="15">
        <f>IF(F275&lt;=0,0,F275)</f>
        <v/>
      </c>
      <c r="C276" s="15">
        <f>IF(B276&lt;=0,0,MIN(Assumptions!$B$13,B276+D276))</f>
        <v/>
      </c>
      <c r="D276" s="15">
        <f>IF(B276&lt;=0,0,B276*Assumptions!$B$6/12)</f>
        <v/>
      </c>
      <c r="E276" s="15">
        <f>IF(B276&lt;=0,0,C276-D276)</f>
        <v/>
      </c>
      <c r="F276" s="15">
        <f>IF(B276&lt;=0,0,B276-E276)</f>
        <v/>
      </c>
      <c r="G276" s="15">
        <f>IF(B276&lt;=0,G275,G275+D276)</f>
        <v/>
      </c>
    </row>
    <row r="277">
      <c r="A277" t="n">
        <v>274</v>
      </c>
      <c r="B277" s="15">
        <f>IF(F276&lt;=0,0,F276)</f>
        <v/>
      </c>
      <c r="C277" s="15">
        <f>IF(B277&lt;=0,0,MIN(Assumptions!$B$13,B277+D277))</f>
        <v/>
      </c>
      <c r="D277" s="15">
        <f>IF(B277&lt;=0,0,B277*Assumptions!$B$6/12)</f>
        <v/>
      </c>
      <c r="E277" s="15">
        <f>IF(B277&lt;=0,0,C277-D277)</f>
        <v/>
      </c>
      <c r="F277" s="15">
        <f>IF(B277&lt;=0,0,B277-E277)</f>
        <v/>
      </c>
      <c r="G277" s="15">
        <f>IF(B277&lt;=0,G276,G276+D277)</f>
        <v/>
      </c>
    </row>
    <row r="278">
      <c r="A278" t="n">
        <v>275</v>
      </c>
      <c r="B278" s="15">
        <f>IF(F277&lt;=0,0,F277)</f>
        <v/>
      </c>
      <c r="C278" s="15">
        <f>IF(B278&lt;=0,0,MIN(Assumptions!$B$13,B278+D278))</f>
        <v/>
      </c>
      <c r="D278" s="15">
        <f>IF(B278&lt;=0,0,B278*Assumptions!$B$6/12)</f>
        <v/>
      </c>
      <c r="E278" s="15">
        <f>IF(B278&lt;=0,0,C278-D278)</f>
        <v/>
      </c>
      <c r="F278" s="15">
        <f>IF(B278&lt;=0,0,B278-E278)</f>
        <v/>
      </c>
      <c r="G278" s="15">
        <f>IF(B278&lt;=0,G277,G277+D278)</f>
        <v/>
      </c>
    </row>
    <row r="279">
      <c r="A279" t="n">
        <v>276</v>
      </c>
      <c r="B279" s="15">
        <f>IF(F278&lt;=0,0,F278)</f>
        <v/>
      </c>
      <c r="C279" s="15">
        <f>IF(B279&lt;=0,0,MIN(Assumptions!$B$13,B279+D279))</f>
        <v/>
      </c>
      <c r="D279" s="15">
        <f>IF(B279&lt;=0,0,B279*Assumptions!$B$6/12)</f>
        <v/>
      </c>
      <c r="E279" s="15">
        <f>IF(B279&lt;=0,0,C279-D279)</f>
        <v/>
      </c>
      <c r="F279" s="15">
        <f>IF(B279&lt;=0,0,B279-E279)</f>
        <v/>
      </c>
      <c r="G279" s="15">
        <f>IF(B279&lt;=0,G278,G278+D279)</f>
        <v/>
      </c>
    </row>
    <row r="280">
      <c r="A280" t="n">
        <v>277</v>
      </c>
      <c r="B280" s="15">
        <f>IF(F279&lt;=0,0,F279)</f>
        <v/>
      </c>
      <c r="C280" s="15">
        <f>IF(B280&lt;=0,0,MIN(Assumptions!$B$13,B280+D280))</f>
        <v/>
      </c>
      <c r="D280" s="15">
        <f>IF(B280&lt;=0,0,B280*Assumptions!$B$6/12)</f>
        <v/>
      </c>
      <c r="E280" s="15">
        <f>IF(B280&lt;=0,0,C280-D280)</f>
        <v/>
      </c>
      <c r="F280" s="15">
        <f>IF(B280&lt;=0,0,B280-E280)</f>
        <v/>
      </c>
      <c r="G280" s="15">
        <f>IF(B280&lt;=0,G279,G279+D280)</f>
        <v/>
      </c>
    </row>
    <row r="281">
      <c r="A281" t="n">
        <v>278</v>
      </c>
      <c r="B281" s="15">
        <f>IF(F280&lt;=0,0,F280)</f>
        <v/>
      </c>
      <c r="C281" s="15">
        <f>IF(B281&lt;=0,0,MIN(Assumptions!$B$13,B281+D281))</f>
        <v/>
      </c>
      <c r="D281" s="15">
        <f>IF(B281&lt;=0,0,B281*Assumptions!$B$6/12)</f>
        <v/>
      </c>
      <c r="E281" s="15">
        <f>IF(B281&lt;=0,0,C281-D281)</f>
        <v/>
      </c>
      <c r="F281" s="15">
        <f>IF(B281&lt;=0,0,B281-E281)</f>
        <v/>
      </c>
      <c r="G281" s="15">
        <f>IF(B281&lt;=0,G280,G280+D281)</f>
        <v/>
      </c>
    </row>
    <row r="282">
      <c r="A282" t="n">
        <v>279</v>
      </c>
      <c r="B282" s="15">
        <f>IF(F281&lt;=0,0,F281)</f>
        <v/>
      </c>
      <c r="C282" s="15">
        <f>IF(B282&lt;=0,0,MIN(Assumptions!$B$13,B282+D282))</f>
        <v/>
      </c>
      <c r="D282" s="15">
        <f>IF(B282&lt;=0,0,B282*Assumptions!$B$6/12)</f>
        <v/>
      </c>
      <c r="E282" s="15">
        <f>IF(B282&lt;=0,0,C282-D282)</f>
        <v/>
      </c>
      <c r="F282" s="15">
        <f>IF(B282&lt;=0,0,B282-E282)</f>
        <v/>
      </c>
      <c r="G282" s="15">
        <f>IF(B282&lt;=0,G281,G281+D282)</f>
        <v/>
      </c>
    </row>
    <row r="283">
      <c r="A283" t="n">
        <v>280</v>
      </c>
      <c r="B283" s="15">
        <f>IF(F282&lt;=0,0,F282)</f>
        <v/>
      </c>
      <c r="C283" s="15">
        <f>IF(B283&lt;=0,0,MIN(Assumptions!$B$13,B283+D283))</f>
        <v/>
      </c>
      <c r="D283" s="15">
        <f>IF(B283&lt;=0,0,B283*Assumptions!$B$6/12)</f>
        <v/>
      </c>
      <c r="E283" s="15">
        <f>IF(B283&lt;=0,0,C283-D283)</f>
        <v/>
      </c>
      <c r="F283" s="15">
        <f>IF(B283&lt;=0,0,B283-E283)</f>
        <v/>
      </c>
      <c r="G283" s="15">
        <f>IF(B283&lt;=0,G282,G282+D283)</f>
        <v/>
      </c>
    </row>
    <row r="284">
      <c r="A284" t="n">
        <v>281</v>
      </c>
      <c r="B284" s="15">
        <f>IF(F283&lt;=0,0,F283)</f>
        <v/>
      </c>
      <c r="C284" s="15">
        <f>IF(B284&lt;=0,0,MIN(Assumptions!$B$13,B284+D284))</f>
        <v/>
      </c>
      <c r="D284" s="15">
        <f>IF(B284&lt;=0,0,B284*Assumptions!$B$6/12)</f>
        <v/>
      </c>
      <c r="E284" s="15">
        <f>IF(B284&lt;=0,0,C284-D284)</f>
        <v/>
      </c>
      <c r="F284" s="15">
        <f>IF(B284&lt;=0,0,B284-E284)</f>
        <v/>
      </c>
      <c r="G284" s="15">
        <f>IF(B284&lt;=0,G283,G283+D284)</f>
        <v/>
      </c>
    </row>
    <row r="285">
      <c r="A285" t="n">
        <v>282</v>
      </c>
      <c r="B285" s="15">
        <f>IF(F284&lt;=0,0,F284)</f>
        <v/>
      </c>
      <c r="C285" s="15">
        <f>IF(B285&lt;=0,0,MIN(Assumptions!$B$13,B285+D285))</f>
        <v/>
      </c>
      <c r="D285" s="15">
        <f>IF(B285&lt;=0,0,B285*Assumptions!$B$6/12)</f>
        <v/>
      </c>
      <c r="E285" s="15">
        <f>IF(B285&lt;=0,0,C285-D285)</f>
        <v/>
      </c>
      <c r="F285" s="15">
        <f>IF(B285&lt;=0,0,B285-E285)</f>
        <v/>
      </c>
      <c r="G285" s="15">
        <f>IF(B285&lt;=0,G284,G284+D285)</f>
        <v/>
      </c>
    </row>
    <row r="286">
      <c r="A286" t="n">
        <v>283</v>
      </c>
      <c r="B286" s="15">
        <f>IF(F285&lt;=0,0,F285)</f>
        <v/>
      </c>
      <c r="C286" s="15">
        <f>IF(B286&lt;=0,0,MIN(Assumptions!$B$13,B286+D286))</f>
        <v/>
      </c>
      <c r="D286" s="15">
        <f>IF(B286&lt;=0,0,B286*Assumptions!$B$6/12)</f>
        <v/>
      </c>
      <c r="E286" s="15">
        <f>IF(B286&lt;=0,0,C286-D286)</f>
        <v/>
      </c>
      <c r="F286" s="15">
        <f>IF(B286&lt;=0,0,B286-E286)</f>
        <v/>
      </c>
      <c r="G286" s="15">
        <f>IF(B286&lt;=0,G285,G285+D286)</f>
        <v/>
      </c>
    </row>
    <row r="287">
      <c r="A287" t="n">
        <v>284</v>
      </c>
      <c r="B287" s="15">
        <f>IF(F286&lt;=0,0,F286)</f>
        <v/>
      </c>
      <c r="C287" s="15">
        <f>IF(B287&lt;=0,0,MIN(Assumptions!$B$13,B287+D287))</f>
        <v/>
      </c>
      <c r="D287" s="15">
        <f>IF(B287&lt;=0,0,B287*Assumptions!$B$6/12)</f>
        <v/>
      </c>
      <c r="E287" s="15">
        <f>IF(B287&lt;=0,0,C287-D287)</f>
        <v/>
      </c>
      <c r="F287" s="15">
        <f>IF(B287&lt;=0,0,B287-E287)</f>
        <v/>
      </c>
      <c r="G287" s="15">
        <f>IF(B287&lt;=0,G286,G286+D287)</f>
        <v/>
      </c>
    </row>
    <row r="288">
      <c r="A288" t="n">
        <v>285</v>
      </c>
      <c r="B288" s="15">
        <f>IF(F287&lt;=0,0,F287)</f>
        <v/>
      </c>
      <c r="C288" s="15">
        <f>IF(B288&lt;=0,0,MIN(Assumptions!$B$13,B288+D288))</f>
        <v/>
      </c>
      <c r="D288" s="15">
        <f>IF(B288&lt;=0,0,B288*Assumptions!$B$6/12)</f>
        <v/>
      </c>
      <c r="E288" s="15">
        <f>IF(B288&lt;=0,0,C288-D288)</f>
        <v/>
      </c>
      <c r="F288" s="15">
        <f>IF(B288&lt;=0,0,B288-E288)</f>
        <v/>
      </c>
      <c r="G288" s="15">
        <f>IF(B288&lt;=0,G287,G287+D288)</f>
        <v/>
      </c>
    </row>
    <row r="289">
      <c r="A289" t="n">
        <v>286</v>
      </c>
      <c r="B289" s="15">
        <f>IF(F288&lt;=0,0,F288)</f>
        <v/>
      </c>
      <c r="C289" s="15">
        <f>IF(B289&lt;=0,0,MIN(Assumptions!$B$13,B289+D289))</f>
        <v/>
      </c>
      <c r="D289" s="15">
        <f>IF(B289&lt;=0,0,B289*Assumptions!$B$6/12)</f>
        <v/>
      </c>
      <c r="E289" s="15">
        <f>IF(B289&lt;=0,0,C289-D289)</f>
        <v/>
      </c>
      <c r="F289" s="15">
        <f>IF(B289&lt;=0,0,B289-E289)</f>
        <v/>
      </c>
      <c r="G289" s="15">
        <f>IF(B289&lt;=0,G288,G288+D289)</f>
        <v/>
      </c>
    </row>
    <row r="290">
      <c r="A290" t="n">
        <v>287</v>
      </c>
      <c r="B290" s="15">
        <f>IF(F289&lt;=0,0,F289)</f>
        <v/>
      </c>
      <c r="C290" s="15">
        <f>IF(B290&lt;=0,0,MIN(Assumptions!$B$13,B290+D290))</f>
        <v/>
      </c>
      <c r="D290" s="15">
        <f>IF(B290&lt;=0,0,B290*Assumptions!$B$6/12)</f>
        <v/>
      </c>
      <c r="E290" s="15">
        <f>IF(B290&lt;=0,0,C290-D290)</f>
        <v/>
      </c>
      <c r="F290" s="15">
        <f>IF(B290&lt;=0,0,B290-E290)</f>
        <v/>
      </c>
      <c r="G290" s="15">
        <f>IF(B290&lt;=0,G289,G289+D290)</f>
        <v/>
      </c>
    </row>
    <row r="291">
      <c r="A291" t="n">
        <v>288</v>
      </c>
      <c r="B291" s="15">
        <f>IF(F290&lt;=0,0,F290)</f>
        <v/>
      </c>
      <c r="C291" s="15">
        <f>IF(B291&lt;=0,0,MIN(Assumptions!$B$13,B291+D291))</f>
        <v/>
      </c>
      <c r="D291" s="15">
        <f>IF(B291&lt;=0,0,B291*Assumptions!$B$6/12)</f>
        <v/>
      </c>
      <c r="E291" s="15">
        <f>IF(B291&lt;=0,0,C291-D291)</f>
        <v/>
      </c>
      <c r="F291" s="15">
        <f>IF(B291&lt;=0,0,B291-E291)</f>
        <v/>
      </c>
      <c r="G291" s="15">
        <f>IF(B291&lt;=0,G290,G290+D291)</f>
        <v/>
      </c>
    </row>
    <row r="292">
      <c r="A292" t="n">
        <v>289</v>
      </c>
      <c r="B292" s="15">
        <f>IF(F291&lt;=0,0,F291)</f>
        <v/>
      </c>
      <c r="C292" s="15">
        <f>IF(B292&lt;=0,0,MIN(Assumptions!$B$13,B292+D292))</f>
        <v/>
      </c>
      <c r="D292" s="15">
        <f>IF(B292&lt;=0,0,B292*Assumptions!$B$6/12)</f>
        <v/>
      </c>
      <c r="E292" s="15">
        <f>IF(B292&lt;=0,0,C292-D292)</f>
        <v/>
      </c>
      <c r="F292" s="15">
        <f>IF(B292&lt;=0,0,B292-E292)</f>
        <v/>
      </c>
      <c r="G292" s="15">
        <f>IF(B292&lt;=0,G291,G291+D292)</f>
        <v/>
      </c>
    </row>
    <row r="293">
      <c r="A293" t="n">
        <v>290</v>
      </c>
      <c r="B293" s="15">
        <f>IF(F292&lt;=0,0,F292)</f>
        <v/>
      </c>
      <c r="C293" s="15">
        <f>IF(B293&lt;=0,0,MIN(Assumptions!$B$13,B293+D293))</f>
        <v/>
      </c>
      <c r="D293" s="15">
        <f>IF(B293&lt;=0,0,B293*Assumptions!$B$6/12)</f>
        <v/>
      </c>
      <c r="E293" s="15">
        <f>IF(B293&lt;=0,0,C293-D293)</f>
        <v/>
      </c>
      <c r="F293" s="15">
        <f>IF(B293&lt;=0,0,B293-E293)</f>
        <v/>
      </c>
      <c r="G293" s="15">
        <f>IF(B293&lt;=0,G292,G292+D293)</f>
        <v/>
      </c>
    </row>
    <row r="294">
      <c r="A294" t="n">
        <v>291</v>
      </c>
      <c r="B294" s="15">
        <f>IF(F293&lt;=0,0,F293)</f>
        <v/>
      </c>
      <c r="C294" s="15">
        <f>IF(B294&lt;=0,0,MIN(Assumptions!$B$13,B294+D294))</f>
        <v/>
      </c>
      <c r="D294" s="15">
        <f>IF(B294&lt;=0,0,B294*Assumptions!$B$6/12)</f>
        <v/>
      </c>
      <c r="E294" s="15">
        <f>IF(B294&lt;=0,0,C294-D294)</f>
        <v/>
      </c>
      <c r="F294" s="15">
        <f>IF(B294&lt;=0,0,B294-E294)</f>
        <v/>
      </c>
      <c r="G294" s="15">
        <f>IF(B294&lt;=0,G293,G293+D294)</f>
        <v/>
      </c>
    </row>
    <row r="295">
      <c r="A295" t="n">
        <v>292</v>
      </c>
      <c r="B295" s="15">
        <f>IF(F294&lt;=0,0,F294)</f>
        <v/>
      </c>
      <c r="C295" s="15">
        <f>IF(B295&lt;=0,0,MIN(Assumptions!$B$13,B295+D295))</f>
        <v/>
      </c>
      <c r="D295" s="15">
        <f>IF(B295&lt;=0,0,B295*Assumptions!$B$6/12)</f>
        <v/>
      </c>
      <c r="E295" s="15">
        <f>IF(B295&lt;=0,0,C295-D295)</f>
        <v/>
      </c>
      <c r="F295" s="15">
        <f>IF(B295&lt;=0,0,B295-E295)</f>
        <v/>
      </c>
      <c r="G295" s="15">
        <f>IF(B295&lt;=0,G294,G294+D295)</f>
        <v/>
      </c>
    </row>
    <row r="296">
      <c r="A296" t="n">
        <v>293</v>
      </c>
      <c r="B296" s="15">
        <f>IF(F295&lt;=0,0,F295)</f>
        <v/>
      </c>
      <c r="C296" s="15">
        <f>IF(B296&lt;=0,0,MIN(Assumptions!$B$13,B296+D296))</f>
        <v/>
      </c>
      <c r="D296" s="15">
        <f>IF(B296&lt;=0,0,B296*Assumptions!$B$6/12)</f>
        <v/>
      </c>
      <c r="E296" s="15">
        <f>IF(B296&lt;=0,0,C296-D296)</f>
        <v/>
      </c>
      <c r="F296" s="15">
        <f>IF(B296&lt;=0,0,B296-E296)</f>
        <v/>
      </c>
      <c r="G296" s="15">
        <f>IF(B296&lt;=0,G295,G295+D296)</f>
        <v/>
      </c>
    </row>
    <row r="297">
      <c r="A297" t="n">
        <v>294</v>
      </c>
      <c r="B297" s="15">
        <f>IF(F296&lt;=0,0,F296)</f>
        <v/>
      </c>
      <c r="C297" s="15">
        <f>IF(B297&lt;=0,0,MIN(Assumptions!$B$13,B297+D297))</f>
        <v/>
      </c>
      <c r="D297" s="15">
        <f>IF(B297&lt;=0,0,B297*Assumptions!$B$6/12)</f>
        <v/>
      </c>
      <c r="E297" s="15">
        <f>IF(B297&lt;=0,0,C297-D297)</f>
        <v/>
      </c>
      <c r="F297" s="15">
        <f>IF(B297&lt;=0,0,B297-E297)</f>
        <v/>
      </c>
      <c r="G297" s="15">
        <f>IF(B297&lt;=0,G296,G296+D297)</f>
        <v/>
      </c>
    </row>
    <row r="298">
      <c r="A298" t="n">
        <v>295</v>
      </c>
      <c r="B298" s="15">
        <f>IF(F297&lt;=0,0,F297)</f>
        <v/>
      </c>
      <c r="C298" s="15">
        <f>IF(B298&lt;=0,0,MIN(Assumptions!$B$13,B298+D298))</f>
        <v/>
      </c>
      <c r="D298" s="15">
        <f>IF(B298&lt;=0,0,B298*Assumptions!$B$6/12)</f>
        <v/>
      </c>
      <c r="E298" s="15">
        <f>IF(B298&lt;=0,0,C298-D298)</f>
        <v/>
      </c>
      <c r="F298" s="15">
        <f>IF(B298&lt;=0,0,B298-E298)</f>
        <v/>
      </c>
      <c r="G298" s="15">
        <f>IF(B298&lt;=0,G297,G297+D298)</f>
        <v/>
      </c>
    </row>
    <row r="299">
      <c r="A299" t="n">
        <v>296</v>
      </c>
      <c r="B299" s="15">
        <f>IF(F298&lt;=0,0,F298)</f>
        <v/>
      </c>
      <c r="C299" s="15">
        <f>IF(B299&lt;=0,0,MIN(Assumptions!$B$13,B299+D299))</f>
        <v/>
      </c>
      <c r="D299" s="15">
        <f>IF(B299&lt;=0,0,B299*Assumptions!$B$6/12)</f>
        <v/>
      </c>
      <c r="E299" s="15">
        <f>IF(B299&lt;=0,0,C299-D299)</f>
        <v/>
      </c>
      <c r="F299" s="15">
        <f>IF(B299&lt;=0,0,B299-E299)</f>
        <v/>
      </c>
      <c r="G299" s="15">
        <f>IF(B299&lt;=0,G298,G298+D299)</f>
        <v/>
      </c>
    </row>
    <row r="300">
      <c r="A300" t="n">
        <v>297</v>
      </c>
      <c r="B300" s="15">
        <f>IF(F299&lt;=0,0,F299)</f>
        <v/>
      </c>
      <c r="C300" s="15">
        <f>IF(B300&lt;=0,0,MIN(Assumptions!$B$13,B300+D300))</f>
        <v/>
      </c>
      <c r="D300" s="15">
        <f>IF(B300&lt;=0,0,B300*Assumptions!$B$6/12)</f>
        <v/>
      </c>
      <c r="E300" s="15">
        <f>IF(B300&lt;=0,0,C300-D300)</f>
        <v/>
      </c>
      <c r="F300" s="15">
        <f>IF(B300&lt;=0,0,B300-E300)</f>
        <v/>
      </c>
      <c r="G300" s="15">
        <f>IF(B300&lt;=0,G299,G299+D300)</f>
        <v/>
      </c>
    </row>
    <row r="301">
      <c r="A301" t="n">
        <v>298</v>
      </c>
      <c r="B301" s="15">
        <f>IF(F300&lt;=0,0,F300)</f>
        <v/>
      </c>
      <c r="C301" s="15">
        <f>IF(B301&lt;=0,0,MIN(Assumptions!$B$13,B301+D301))</f>
        <v/>
      </c>
      <c r="D301" s="15">
        <f>IF(B301&lt;=0,0,B301*Assumptions!$B$6/12)</f>
        <v/>
      </c>
      <c r="E301" s="15">
        <f>IF(B301&lt;=0,0,C301-D301)</f>
        <v/>
      </c>
      <c r="F301" s="15">
        <f>IF(B301&lt;=0,0,B301-E301)</f>
        <v/>
      </c>
      <c r="G301" s="15">
        <f>IF(B301&lt;=0,G300,G300+D301)</f>
        <v/>
      </c>
    </row>
    <row r="302">
      <c r="A302" t="n">
        <v>299</v>
      </c>
      <c r="B302" s="15">
        <f>IF(F301&lt;=0,0,F301)</f>
        <v/>
      </c>
      <c r="C302" s="15">
        <f>IF(B302&lt;=0,0,MIN(Assumptions!$B$13,B302+D302))</f>
        <v/>
      </c>
      <c r="D302" s="15">
        <f>IF(B302&lt;=0,0,B302*Assumptions!$B$6/12)</f>
        <v/>
      </c>
      <c r="E302" s="15">
        <f>IF(B302&lt;=0,0,C302-D302)</f>
        <v/>
      </c>
      <c r="F302" s="15">
        <f>IF(B302&lt;=0,0,B302-E302)</f>
        <v/>
      </c>
      <c r="G302" s="15">
        <f>IF(B302&lt;=0,G301,G301+D302)</f>
        <v/>
      </c>
    </row>
    <row r="303">
      <c r="A303" t="n">
        <v>300</v>
      </c>
      <c r="B303" s="15">
        <f>IF(F302&lt;=0,0,F302)</f>
        <v/>
      </c>
      <c r="C303" s="15">
        <f>IF(B303&lt;=0,0,MIN(Assumptions!$B$13,B303+D303))</f>
        <v/>
      </c>
      <c r="D303" s="15">
        <f>IF(B303&lt;=0,0,B303*Assumptions!$B$6/12)</f>
        <v/>
      </c>
      <c r="E303" s="15">
        <f>IF(B303&lt;=0,0,C303-D303)</f>
        <v/>
      </c>
      <c r="F303" s="15">
        <f>IF(B303&lt;=0,0,B303-E303)</f>
        <v/>
      </c>
      <c r="G303" s="15">
        <f>IF(B303&lt;=0,G302,G302+D303)</f>
        <v/>
      </c>
    </row>
    <row r="304">
      <c r="A304" t="n">
        <v>301</v>
      </c>
      <c r="B304" s="15">
        <f>IF(F303&lt;=0,0,F303)</f>
        <v/>
      </c>
      <c r="C304" s="15">
        <f>IF(B304&lt;=0,0,MIN(Assumptions!$B$13,B304+D304))</f>
        <v/>
      </c>
      <c r="D304" s="15">
        <f>IF(B304&lt;=0,0,B304*Assumptions!$B$6/12)</f>
        <v/>
      </c>
      <c r="E304" s="15">
        <f>IF(B304&lt;=0,0,C304-D304)</f>
        <v/>
      </c>
      <c r="F304" s="15">
        <f>IF(B304&lt;=0,0,B304-E304)</f>
        <v/>
      </c>
      <c r="G304" s="15">
        <f>IF(B304&lt;=0,G303,G303+D304)</f>
        <v/>
      </c>
    </row>
    <row r="305">
      <c r="A305" t="n">
        <v>302</v>
      </c>
      <c r="B305" s="15">
        <f>IF(F304&lt;=0,0,F304)</f>
        <v/>
      </c>
      <c r="C305" s="15">
        <f>IF(B305&lt;=0,0,MIN(Assumptions!$B$13,B305+D305))</f>
        <v/>
      </c>
      <c r="D305" s="15">
        <f>IF(B305&lt;=0,0,B305*Assumptions!$B$6/12)</f>
        <v/>
      </c>
      <c r="E305" s="15">
        <f>IF(B305&lt;=0,0,C305-D305)</f>
        <v/>
      </c>
      <c r="F305" s="15">
        <f>IF(B305&lt;=0,0,B305-E305)</f>
        <v/>
      </c>
      <c r="G305" s="15">
        <f>IF(B305&lt;=0,G304,G304+D305)</f>
        <v/>
      </c>
    </row>
    <row r="306">
      <c r="A306" t="n">
        <v>303</v>
      </c>
      <c r="B306" s="15">
        <f>IF(F305&lt;=0,0,F305)</f>
        <v/>
      </c>
      <c r="C306" s="15">
        <f>IF(B306&lt;=0,0,MIN(Assumptions!$B$13,B306+D306))</f>
        <v/>
      </c>
      <c r="D306" s="15">
        <f>IF(B306&lt;=0,0,B306*Assumptions!$B$6/12)</f>
        <v/>
      </c>
      <c r="E306" s="15">
        <f>IF(B306&lt;=0,0,C306-D306)</f>
        <v/>
      </c>
      <c r="F306" s="15">
        <f>IF(B306&lt;=0,0,B306-E306)</f>
        <v/>
      </c>
      <c r="G306" s="15">
        <f>IF(B306&lt;=0,G305,G305+D306)</f>
        <v/>
      </c>
    </row>
    <row r="307">
      <c r="A307" t="n">
        <v>304</v>
      </c>
      <c r="B307" s="15">
        <f>IF(F306&lt;=0,0,F306)</f>
        <v/>
      </c>
      <c r="C307" s="15">
        <f>IF(B307&lt;=0,0,MIN(Assumptions!$B$13,B307+D307))</f>
        <v/>
      </c>
      <c r="D307" s="15">
        <f>IF(B307&lt;=0,0,B307*Assumptions!$B$6/12)</f>
        <v/>
      </c>
      <c r="E307" s="15">
        <f>IF(B307&lt;=0,0,C307-D307)</f>
        <v/>
      </c>
      <c r="F307" s="15">
        <f>IF(B307&lt;=0,0,B307-E307)</f>
        <v/>
      </c>
      <c r="G307" s="15">
        <f>IF(B307&lt;=0,G306,G306+D307)</f>
        <v/>
      </c>
    </row>
    <row r="308">
      <c r="A308" t="n">
        <v>305</v>
      </c>
      <c r="B308" s="15">
        <f>IF(F307&lt;=0,0,F307)</f>
        <v/>
      </c>
      <c r="C308" s="15">
        <f>IF(B308&lt;=0,0,MIN(Assumptions!$B$13,B308+D308))</f>
        <v/>
      </c>
      <c r="D308" s="15">
        <f>IF(B308&lt;=0,0,B308*Assumptions!$B$6/12)</f>
        <v/>
      </c>
      <c r="E308" s="15">
        <f>IF(B308&lt;=0,0,C308-D308)</f>
        <v/>
      </c>
      <c r="F308" s="15">
        <f>IF(B308&lt;=0,0,B308-E308)</f>
        <v/>
      </c>
      <c r="G308" s="15">
        <f>IF(B308&lt;=0,G307,G307+D308)</f>
        <v/>
      </c>
    </row>
    <row r="309">
      <c r="A309" t="n">
        <v>306</v>
      </c>
      <c r="B309" s="15">
        <f>IF(F308&lt;=0,0,F308)</f>
        <v/>
      </c>
      <c r="C309" s="15">
        <f>IF(B309&lt;=0,0,MIN(Assumptions!$B$13,B309+D309))</f>
        <v/>
      </c>
      <c r="D309" s="15">
        <f>IF(B309&lt;=0,0,B309*Assumptions!$B$6/12)</f>
        <v/>
      </c>
      <c r="E309" s="15">
        <f>IF(B309&lt;=0,0,C309-D309)</f>
        <v/>
      </c>
      <c r="F309" s="15">
        <f>IF(B309&lt;=0,0,B309-E309)</f>
        <v/>
      </c>
      <c r="G309" s="15">
        <f>IF(B309&lt;=0,G308,G308+D309)</f>
        <v/>
      </c>
    </row>
    <row r="310">
      <c r="A310" t="n">
        <v>307</v>
      </c>
      <c r="B310" s="15">
        <f>IF(F309&lt;=0,0,F309)</f>
        <v/>
      </c>
      <c r="C310" s="15">
        <f>IF(B310&lt;=0,0,MIN(Assumptions!$B$13,B310+D310))</f>
        <v/>
      </c>
      <c r="D310" s="15">
        <f>IF(B310&lt;=0,0,B310*Assumptions!$B$6/12)</f>
        <v/>
      </c>
      <c r="E310" s="15">
        <f>IF(B310&lt;=0,0,C310-D310)</f>
        <v/>
      </c>
      <c r="F310" s="15">
        <f>IF(B310&lt;=0,0,B310-E310)</f>
        <v/>
      </c>
      <c r="G310" s="15">
        <f>IF(B310&lt;=0,G309,G309+D310)</f>
        <v/>
      </c>
    </row>
    <row r="311">
      <c r="A311" t="n">
        <v>308</v>
      </c>
      <c r="B311" s="15">
        <f>IF(F310&lt;=0,0,F310)</f>
        <v/>
      </c>
      <c r="C311" s="15">
        <f>IF(B311&lt;=0,0,MIN(Assumptions!$B$13,B311+D311))</f>
        <v/>
      </c>
      <c r="D311" s="15">
        <f>IF(B311&lt;=0,0,B311*Assumptions!$B$6/12)</f>
        <v/>
      </c>
      <c r="E311" s="15">
        <f>IF(B311&lt;=0,0,C311-D311)</f>
        <v/>
      </c>
      <c r="F311" s="15">
        <f>IF(B311&lt;=0,0,B311-E311)</f>
        <v/>
      </c>
      <c r="G311" s="15">
        <f>IF(B311&lt;=0,G310,G310+D311)</f>
        <v/>
      </c>
    </row>
    <row r="312">
      <c r="A312" t="n">
        <v>309</v>
      </c>
      <c r="B312" s="15">
        <f>IF(F311&lt;=0,0,F311)</f>
        <v/>
      </c>
      <c r="C312" s="15">
        <f>IF(B312&lt;=0,0,MIN(Assumptions!$B$13,B312+D312))</f>
        <v/>
      </c>
      <c r="D312" s="15">
        <f>IF(B312&lt;=0,0,B312*Assumptions!$B$6/12)</f>
        <v/>
      </c>
      <c r="E312" s="15">
        <f>IF(B312&lt;=0,0,C312-D312)</f>
        <v/>
      </c>
      <c r="F312" s="15">
        <f>IF(B312&lt;=0,0,B312-E312)</f>
        <v/>
      </c>
      <c r="G312" s="15">
        <f>IF(B312&lt;=0,G311,G311+D312)</f>
        <v/>
      </c>
    </row>
    <row r="313">
      <c r="A313" t="n">
        <v>310</v>
      </c>
      <c r="B313" s="15">
        <f>IF(F312&lt;=0,0,F312)</f>
        <v/>
      </c>
      <c r="C313" s="15">
        <f>IF(B313&lt;=0,0,MIN(Assumptions!$B$13,B313+D313))</f>
        <v/>
      </c>
      <c r="D313" s="15">
        <f>IF(B313&lt;=0,0,B313*Assumptions!$B$6/12)</f>
        <v/>
      </c>
      <c r="E313" s="15">
        <f>IF(B313&lt;=0,0,C313-D313)</f>
        <v/>
      </c>
      <c r="F313" s="15">
        <f>IF(B313&lt;=0,0,B313-E313)</f>
        <v/>
      </c>
      <c r="G313" s="15">
        <f>IF(B313&lt;=0,G312,G312+D313)</f>
        <v/>
      </c>
    </row>
    <row r="314">
      <c r="A314" t="n">
        <v>311</v>
      </c>
      <c r="B314" s="15">
        <f>IF(F313&lt;=0,0,F313)</f>
        <v/>
      </c>
      <c r="C314" s="15">
        <f>IF(B314&lt;=0,0,MIN(Assumptions!$B$13,B314+D314))</f>
        <v/>
      </c>
      <c r="D314" s="15">
        <f>IF(B314&lt;=0,0,B314*Assumptions!$B$6/12)</f>
        <v/>
      </c>
      <c r="E314" s="15">
        <f>IF(B314&lt;=0,0,C314-D314)</f>
        <v/>
      </c>
      <c r="F314" s="15">
        <f>IF(B314&lt;=0,0,B314-E314)</f>
        <v/>
      </c>
      <c r="G314" s="15">
        <f>IF(B314&lt;=0,G313,G313+D314)</f>
        <v/>
      </c>
    </row>
    <row r="315">
      <c r="A315" t="n">
        <v>312</v>
      </c>
      <c r="B315" s="15">
        <f>IF(F314&lt;=0,0,F314)</f>
        <v/>
      </c>
      <c r="C315" s="15">
        <f>IF(B315&lt;=0,0,MIN(Assumptions!$B$13,B315+D315))</f>
        <v/>
      </c>
      <c r="D315" s="15">
        <f>IF(B315&lt;=0,0,B315*Assumptions!$B$6/12)</f>
        <v/>
      </c>
      <c r="E315" s="15">
        <f>IF(B315&lt;=0,0,C315-D315)</f>
        <v/>
      </c>
      <c r="F315" s="15">
        <f>IF(B315&lt;=0,0,B315-E315)</f>
        <v/>
      </c>
      <c r="G315" s="15">
        <f>IF(B315&lt;=0,G314,G314+D315)</f>
        <v/>
      </c>
    </row>
    <row r="316">
      <c r="A316" t="n">
        <v>313</v>
      </c>
      <c r="B316" s="15">
        <f>IF(F315&lt;=0,0,F315)</f>
        <v/>
      </c>
      <c r="C316" s="15">
        <f>IF(B316&lt;=0,0,MIN(Assumptions!$B$13,B316+D316))</f>
        <v/>
      </c>
      <c r="D316" s="15">
        <f>IF(B316&lt;=0,0,B316*Assumptions!$B$6/12)</f>
        <v/>
      </c>
      <c r="E316" s="15">
        <f>IF(B316&lt;=0,0,C316-D316)</f>
        <v/>
      </c>
      <c r="F316" s="15">
        <f>IF(B316&lt;=0,0,B316-E316)</f>
        <v/>
      </c>
      <c r="G316" s="15">
        <f>IF(B316&lt;=0,G315,G315+D316)</f>
        <v/>
      </c>
    </row>
    <row r="317">
      <c r="A317" t="n">
        <v>314</v>
      </c>
      <c r="B317" s="15">
        <f>IF(F316&lt;=0,0,F316)</f>
        <v/>
      </c>
      <c r="C317" s="15">
        <f>IF(B317&lt;=0,0,MIN(Assumptions!$B$13,B317+D317))</f>
        <v/>
      </c>
      <c r="D317" s="15">
        <f>IF(B317&lt;=0,0,B317*Assumptions!$B$6/12)</f>
        <v/>
      </c>
      <c r="E317" s="15">
        <f>IF(B317&lt;=0,0,C317-D317)</f>
        <v/>
      </c>
      <c r="F317" s="15">
        <f>IF(B317&lt;=0,0,B317-E317)</f>
        <v/>
      </c>
      <c r="G317" s="15">
        <f>IF(B317&lt;=0,G316,G316+D317)</f>
        <v/>
      </c>
    </row>
    <row r="318">
      <c r="A318" t="n">
        <v>315</v>
      </c>
      <c r="B318" s="15">
        <f>IF(F317&lt;=0,0,F317)</f>
        <v/>
      </c>
      <c r="C318" s="15">
        <f>IF(B318&lt;=0,0,MIN(Assumptions!$B$13,B318+D318))</f>
        <v/>
      </c>
      <c r="D318" s="15">
        <f>IF(B318&lt;=0,0,B318*Assumptions!$B$6/12)</f>
        <v/>
      </c>
      <c r="E318" s="15">
        <f>IF(B318&lt;=0,0,C318-D318)</f>
        <v/>
      </c>
      <c r="F318" s="15">
        <f>IF(B318&lt;=0,0,B318-E318)</f>
        <v/>
      </c>
      <c r="G318" s="15">
        <f>IF(B318&lt;=0,G317,G317+D318)</f>
        <v/>
      </c>
    </row>
    <row r="319">
      <c r="A319" t="n">
        <v>316</v>
      </c>
      <c r="B319" s="15">
        <f>IF(F318&lt;=0,0,F318)</f>
        <v/>
      </c>
      <c r="C319" s="15">
        <f>IF(B319&lt;=0,0,MIN(Assumptions!$B$13,B319+D319))</f>
        <v/>
      </c>
      <c r="D319" s="15">
        <f>IF(B319&lt;=0,0,B319*Assumptions!$B$6/12)</f>
        <v/>
      </c>
      <c r="E319" s="15">
        <f>IF(B319&lt;=0,0,C319-D319)</f>
        <v/>
      </c>
      <c r="F319" s="15">
        <f>IF(B319&lt;=0,0,B319-E319)</f>
        <v/>
      </c>
      <c r="G319" s="15">
        <f>IF(B319&lt;=0,G318,G318+D319)</f>
        <v/>
      </c>
    </row>
    <row r="320">
      <c r="A320" t="n">
        <v>317</v>
      </c>
      <c r="B320" s="15">
        <f>IF(F319&lt;=0,0,F319)</f>
        <v/>
      </c>
      <c r="C320" s="15">
        <f>IF(B320&lt;=0,0,MIN(Assumptions!$B$13,B320+D320))</f>
        <v/>
      </c>
      <c r="D320" s="15">
        <f>IF(B320&lt;=0,0,B320*Assumptions!$B$6/12)</f>
        <v/>
      </c>
      <c r="E320" s="15">
        <f>IF(B320&lt;=0,0,C320-D320)</f>
        <v/>
      </c>
      <c r="F320" s="15">
        <f>IF(B320&lt;=0,0,B320-E320)</f>
        <v/>
      </c>
      <c r="G320" s="15">
        <f>IF(B320&lt;=0,G319,G319+D320)</f>
        <v/>
      </c>
    </row>
    <row r="321">
      <c r="A321" t="n">
        <v>318</v>
      </c>
      <c r="B321" s="15">
        <f>IF(F320&lt;=0,0,F320)</f>
        <v/>
      </c>
      <c r="C321" s="15">
        <f>IF(B321&lt;=0,0,MIN(Assumptions!$B$13,B321+D321))</f>
        <v/>
      </c>
      <c r="D321" s="15">
        <f>IF(B321&lt;=0,0,B321*Assumptions!$B$6/12)</f>
        <v/>
      </c>
      <c r="E321" s="15">
        <f>IF(B321&lt;=0,0,C321-D321)</f>
        <v/>
      </c>
      <c r="F321" s="15">
        <f>IF(B321&lt;=0,0,B321-E321)</f>
        <v/>
      </c>
      <c r="G321" s="15">
        <f>IF(B321&lt;=0,G320,G320+D321)</f>
        <v/>
      </c>
    </row>
    <row r="322">
      <c r="A322" t="n">
        <v>319</v>
      </c>
      <c r="B322" s="15">
        <f>IF(F321&lt;=0,0,F321)</f>
        <v/>
      </c>
      <c r="C322" s="15">
        <f>IF(B322&lt;=0,0,MIN(Assumptions!$B$13,B322+D322))</f>
        <v/>
      </c>
      <c r="D322" s="15">
        <f>IF(B322&lt;=0,0,B322*Assumptions!$B$6/12)</f>
        <v/>
      </c>
      <c r="E322" s="15">
        <f>IF(B322&lt;=0,0,C322-D322)</f>
        <v/>
      </c>
      <c r="F322" s="15">
        <f>IF(B322&lt;=0,0,B322-E322)</f>
        <v/>
      </c>
      <c r="G322" s="15">
        <f>IF(B322&lt;=0,G321,G321+D322)</f>
        <v/>
      </c>
    </row>
    <row r="323">
      <c r="A323" t="n">
        <v>320</v>
      </c>
      <c r="B323" s="15">
        <f>IF(F322&lt;=0,0,F322)</f>
        <v/>
      </c>
      <c r="C323" s="15">
        <f>IF(B323&lt;=0,0,MIN(Assumptions!$B$13,B323+D323))</f>
        <v/>
      </c>
      <c r="D323" s="15">
        <f>IF(B323&lt;=0,0,B323*Assumptions!$B$6/12)</f>
        <v/>
      </c>
      <c r="E323" s="15">
        <f>IF(B323&lt;=0,0,C323-D323)</f>
        <v/>
      </c>
      <c r="F323" s="15">
        <f>IF(B323&lt;=0,0,B323-E323)</f>
        <v/>
      </c>
      <c r="G323" s="15">
        <f>IF(B323&lt;=0,G322,G322+D323)</f>
        <v/>
      </c>
    </row>
    <row r="324">
      <c r="A324" t="n">
        <v>321</v>
      </c>
      <c r="B324" s="15">
        <f>IF(F323&lt;=0,0,F323)</f>
        <v/>
      </c>
      <c r="C324" s="15">
        <f>IF(B324&lt;=0,0,MIN(Assumptions!$B$13,B324+D324))</f>
        <v/>
      </c>
      <c r="D324" s="15">
        <f>IF(B324&lt;=0,0,B324*Assumptions!$B$6/12)</f>
        <v/>
      </c>
      <c r="E324" s="15">
        <f>IF(B324&lt;=0,0,C324-D324)</f>
        <v/>
      </c>
      <c r="F324" s="15">
        <f>IF(B324&lt;=0,0,B324-E324)</f>
        <v/>
      </c>
      <c r="G324" s="15">
        <f>IF(B324&lt;=0,G323,G323+D324)</f>
        <v/>
      </c>
    </row>
    <row r="325">
      <c r="A325" t="n">
        <v>322</v>
      </c>
      <c r="B325" s="15">
        <f>IF(F324&lt;=0,0,F324)</f>
        <v/>
      </c>
      <c r="C325" s="15">
        <f>IF(B325&lt;=0,0,MIN(Assumptions!$B$13,B325+D325))</f>
        <v/>
      </c>
      <c r="D325" s="15">
        <f>IF(B325&lt;=0,0,B325*Assumptions!$B$6/12)</f>
        <v/>
      </c>
      <c r="E325" s="15">
        <f>IF(B325&lt;=0,0,C325-D325)</f>
        <v/>
      </c>
      <c r="F325" s="15">
        <f>IF(B325&lt;=0,0,B325-E325)</f>
        <v/>
      </c>
      <c r="G325" s="15">
        <f>IF(B325&lt;=0,G324,G324+D325)</f>
        <v/>
      </c>
    </row>
    <row r="326">
      <c r="A326" t="n">
        <v>323</v>
      </c>
      <c r="B326" s="15">
        <f>IF(F325&lt;=0,0,F325)</f>
        <v/>
      </c>
      <c r="C326" s="15">
        <f>IF(B326&lt;=0,0,MIN(Assumptions!$B$13,B326+D326))</f>
        <v/>
      </c>
      <c r="D326" s="15">
        <f>IF(B326&lt;=0,0,B326*Assumptions!$B$6/12)</f>
        <v/>
      </c>
      <c r="E326" s="15">
        <f>IF(B326&lt;=0,0,C326-D326)</f>
        <v/>
      </c>
      <c r="F326" s="15">
        <f>IF(B326&lt;=0,0,B326-E326)</f>
        <v/>
      </c>
      <c r="G326" s="15">
        <f>IF(B326&lt;=0,G325,G325+D326)</f>
        <v/>
      </c>
    </row>
    <row r="327">
      <c r="A327" t="n">
        <v>324</v>
      </c>
      <c r="B327" s="15">
        <f>IF(F326&lt;=0,0,F326)</f>
        <v/>
      </c>
      <c r="C327" s="15">
        <f>IF(B327&lt;=0,0,MIN(Assumptions!$B$13,B327+D327))</f>
        <v/>
      </c>
      <c r="D327" s="15">
        <f>IF(B327&lt;=0,0,B327*Assumptions!$B$6/12)</f>
        <v/>
      </c>
      <c r="E327" s="15">
        <f>IF(B327&lt;=0,0,C327-D327)</f>
        <v/>
      </c>
      <c r="F327" s="15">
        <f>IF(B327&lt;=0,0,B327-E327)</f>
        <v/>
      </c>
      <c r="G327" s="15">
        <f>IF(B327&lt;=0,G326,G326+D327)</f>
        <v/>
      </c>
    </row>
    <row r="328">
      <c r="A328" t="n">
        <v>325</v>
      </c>
      <c r="B328" s="15">
        <f>IF(F327&lt;=0,0,F327)</f>
        <v/>
      </c>
      <c r="C328" s="15">
        <f>IF(B328&lt;=0,0,MIN(Assumptions!$B$13,B328+D328))</f>
        <v/>
      </c>
      <c r="D328" s="15">
        <f>IF(B328&lt;=0,0,B328*Assumptions!$B$6/12)</f>
        <v/>
      </c>
      <c r="E328" s="15">
        <f>IF(B328&lt;=0,0,C328-D328)</f>
        <v/>
      </c>
      <c r="F328" s="15">
        <f>IF(B328&lt;=0,0,B328-E328)</f>
        <v/>
      </c>
      <c r="G328" s="15">
        <f>IF(B328&lt;=0,G327,G327+D328)</f>
        <v/>
      </c>
    </row>
    <row r="329">
      <c r="A329" t="n">
        <v>326</v>
      </c>
      <c r="B329" s="15">
        <f>IF(F328&lt;=0,0,F328)</f>
        <v/>
      </c>
      <c r="C329" s="15">
        <f>IF(B329&lt;=0,0,MIN(Assumptions!$B$13,B329+D329))</f>
        <v/>
      </c>
      <c r="D329" s="15">
        <f>IF(B329&lt;=0,0,B329*Assumptions!$B$6/12)</f>
        <v/>
      </c>
      <c r="E329" s="15">
        <f>IF(B329&lt;=0,0,C329-D329)</f>
        <v/>
      </c>
      <c r="F329" s="15">
        <f>IF(B329&lt;=0,0,B329-E329)</f>
        <v/>
      </c>
      <c r="G329" s="15">
        <f>IF(B329&lt;=0,G328,G328+D329)</f>
        <v/>
      </c>
    </row>
    <row r="330">
      <c r="A330" t="n">
        <v>327</v>
      </c>
      <c r="B330" s="15">
        <f>IF(F329&lt;=0,0,F329)</f>
        <v/>
      </c>
      <c r="C330" s="15">
        <f>IF(B330&lt;=0,0,MIN(Assumptions!$B$13,B330+D330))</f>
        <v/>
      </c>
      <c r="D330" s="15">
        <f>IF(B330&lt;=0,0,B330*Assumptions!$B$6/12)</f>
        <v/>
      </c>
      <c r="E330" s="15">
        <f>IF(B330&lt;=0,0,C330-D330)</f>
        <v/>
      </c>
      <c r="F330" s="15">
        <f>IF(B330&lt;=0,0,B330-E330)</f>
        <v/>
      </c>
      <c r="G330" s="15">
        <f>IF(B330&lt;=0,G329,G329+D330)</f>
        <v/>
      </c>
    </row>
    <row r="331">
      <c r="A331" t="n">
        <v>328</v>
      </c>
      <c r="B331" s="15">
        <f>IF(F330&lt;=0,0,F330)</f>
        <v/>
      </c>
      <c r="C331" s="15">
        <f>IF(B331&lt;=0,0,MIN(Assumptions!$B$13,B331+D331))</f>
        <v/>
      </c>
      <c r="D331" s="15">
        <f>IF(B331&lt;=0,0,B331*Assumptions!$B$6/12)</f>
        <v/>
      </c>
      <c r="E331" s="15">
        <f>IF(B331&lt;=0,0,C331-D331)</f>
        <v/>
      </c>
      <c r="F331" s="15">
        <f>IF(B331&lt;=0,0,B331-E331)</f>
        <v/>
      </c>
      <c r="G331" s="15">
        <f>IF(B331&lt;=0,G330,G330+D331)</f>
        <v/>
      </c>
    </row>
    <row r="332">
      <c r="A332" t="n">
        <v>329</v>
      </c>
      <c r="B332" s="15">
        <f>IF(F331&lt;=0,0,F331)</f>
        <v/>
      </c>
      <c r="C332" s="15">
        <f>IF(B332&lt;=0,0,MIN(Assumptions!$B$13,B332+D332))</f>
        <v/>
      </c>
      <c r="D332" s="15">
        <f>IF(B332&lt;=0,0,B332*Assumptions!$B$6/12)</f>
        <v/>
      </c>
      <c r="E332" s="15">
        <f>IF(B332&lt;=0,0,C332-D332)</f>
        <v/>
      </c>
      <c r="F332" s="15">
        <f>IF(B332&lt;=0,0,B332-E332)</f>
        <v/>
      </c>
      <c r="G332" s="15">
        <f>IF(B332&lt;=0,G331,G331+D332)</f>
        <v/>
      </c>
    </row>
    <row r="333">
      <c r="A333" t="n">
        <v>330</v>
      </c>
      <c r="B333" s="15">
        <f>IF(F332&lt;=0,0,F332)</f>
        <v/>
      </c>
      <c r="C333" s="15">
        <f>IF(B333&lt;=0,0,MIN(Assumptions!$B$13,B333+D333))</f>
        <v/>
      </c>
      <c r="D333" s="15">
        <f>IF(B333&lt;=0,0,B333*Assumptions!$B$6/12)</f>
        <v/>
      </c>
      <c r="E333" s="15">
        <f>IF(B333&lt;=0,0,C333-D333)</f>
        <v/>
      </c>
      <c r="F333" s="15">
        <f>IF(B333&lt;=0,0,B333-E333)</f>
        <v/>
      </c>
      <c r="G333" s="15">
        <f>IF(B333&lt;=0,G332,G332+D333)</f>
        <v/>
      </c>
    </row>
    <row r="334">
      <c r="A334" t="n">
        <v>331</v>
      </c>
      <c r="B334" s="15">
        <f>IF(F333&lt;=0,0,F333)</f>
        <v/>
      </c>
      <c r="C334" s="15">
        <f>IF(B334&lt;=0,0,MIN(Assumptions!$B$13,B334+D334))</f>
        <v/>
      </c>
      <c r="D334" s="15">
        <f>IF(B334&lt;=0,0,B334*Assumptions!$B$6/12)</f>
        <v/>
      </c>
      <c r="E334" s="15">
        <f>IF(B334&lt;=0,0,C334-D334)</f>
        <v/>
      </c>
      <c r="F334" s="15">
        <f>IF(B334&lt;=0,0,B334-E334)</f>
        <v/>
      </c>
      <c r="G334" s="15">
        <f>IF(B334&lt;=0,G333,G333+D334)</f>
        <v/>
      </c>
    </row>
    <row r="335">
      <c r="A335" t="n">
        <v>332</v>
      </c>
      <c r="B335" s="15">
        <f>IF(F334&lt;=0,0,F334)</f>
        <v/>
      </c>
      <c r="C335" s="15">
        <f>IF(B335&lt;=0,0,MIN(Assumptions!$B$13,B335+D335))</f>
        <v/>
      </c>
      <c r="D335" s="15">
        <f>IF(B335&lt;=0,0,B335*Assumptions!$B$6/12)</f>
        <v/>
      </c>
      <c r="E335" s="15">
        <f>IF(B335&lt;=0,0,C335-D335)</f>
        <v/>
      </c>
      <c r="F335" s="15">
        <f>IF(B335&lt;=0,0,B335-E335)</f>
        <v/>
      </c>
      <c r="G335" s="15">
        <f>IF(B335&lt;=0,G334,G334+D335)</f>
        <v/>
      </c>
    </row>
    <row r="336">
      <c r="A336" t="n">
        <v>333</v>
      </c>
      <c r="B336" s="15">
        <f>IF(F335&lt;=0,0,F335)</f>
        <v/>
      </c>
      <c r="C336" s="15">
        <f>IF(B336&lt;=0,0,MIN(Assumptions!$B$13,B336+D336))</f>
        <v/>
      </c>
      <c r="D336" s="15">
        <f>IF(B336&lt;=0,0,B336*Assumptions!$B$6/12)</f>
        <v/>
      </c>
      <c r="E336" s="15">
        <f>IF(B336&lt;=0,0,C336-D336)</f>
        <v/>
      </c>
      <c r="F336" s="15">
        <f>IF(B336&lt;=0,0,B336-E336)</f>
        <v/>
      </c>
      <c r="G336" s="15">
        <f>IF(B336&lt;=0,G335,G335+D336)</f>
        <v/>
      </c>
    </row>
    <row r="337">
      <c r="A337" t="n">
        <v>334</v>
      </c>
      <c r="B337" s="15">
        <f>IF(F336&lt;=0,0,F336)</f>
        <v/>
      </c>
      <c r="C337" s="15">
        <f>IF(B337&lt;=0,0,MIN(Assumptions!$B$13,B337+D337))</f>
        <v/>
      </c>
      <c r="D337" s="15">
        <f>IF(B337&lt;=0,0,B337*Assumptions!$B$6/12)</f>
        <v/>
      </c>
      <c r="E337" s="15">
        <f>IF(B337&lt;=0,0,C337-D337)</f>
        <v/>
      </c>
      <c r="F337" s="15">
        <f>IF(B337&lt;=0,0,B337-E337)</f>
        <v/>
      </c>
      <c r="G337" s="15">
        <f>IF(B337&lt;=0,G336,G336+D337)</f>
        <v/>
      </c>
    </row>
    <row r="338">
      <c r="A338" t="n">
        <v>335</v>
      </c>
      <c r="B338" s="15">
        <f>IF(F337&lt;=0,0,F337)</f>
        <v/>
      </c>
      <c r="C338" s="15">
        <f>IF(B338&lt;=0,0,MIN(Assumptions!$B$13,B338+D338))</f>
        <v/>
      </c>
      <c r="D338" s="15">
        <f>IF(B338&lt;=0,0,B338*Assumptions!$B$6/12)</f>
        <v/>
      </c>
      <c r="E338" s="15">
        <f>IF(B338&lt;=0,0,C338-D338)</f>
        <v/>
      </c>
      <c r="F338" s="15">
        <f>IF(B338&lt;=0,0,B338-E338)</f>
        <v/>
      </c>
      <c r="G338" s="15">
        <f>IF(B338&lt;=0,G337,G337+D338)</f>
        <v/>
      </c>
    </row>
    <row r="339">
      <c r="A339" t="n">
        <v>336</v>
      </c>
      <c r="B339" s="15">
        <f>IF(F338&lt;=0,0,F338)</f>
        <v/>
      </c>
      <c r="C339" s="15">
        <f>IF(B339&lt;=0,0,MIN(Assumptions!$B$13,B339+D339))</f>
        <v/>
      </c>
      <c r="D339" s="15">
        <f>IF(B339&lt;=0,0,B339*Assumptions!$B$6/12)</f>
        <v/>
      </c>
      <c r="E339" s="15">
        <f>IF(B339&lt;=0,0,C339-D339)</f>
        <v/>
      </c>
      <c r="F339" s="15">
        <f>IF(B339&lt;=0,0,B339-E339)</f>
        <v/>
      </c>
      <c r="G339" s="15">
        <f>IF(B339&lt;=0,G338,G338+D339)</f>
        <v/>
      </c>
    </row>
    <row r="340">
      <c r="A340" t="n">
        <v>337</v>
      </c>
      <c r="B340" s="15">
        <f>IF(F339&lt;=0,0,F339)</f>
        <v/>
      </c>
      <c r="C340" s="15">
        <f>IF(B340&lt;=0,0,MIN(Assumptions!$B$13,B340+D340))</f>
        <v/>
      </c>
      <c r="D340" s="15">
        <f>IF(B340&lt;=0,0,B340*Assumptions!$B$6/12)</f>
        <v/>
      </c>
      <c r="E340" s="15">
        <f>IF(B340&lt;=0,0,C340-D340)</f>
        <v/>
      </c>
      <c r="F340" s="15">
        <f>IF(B340&lt;=0,0,B340-E340)</f>
        <v/>
      </c>
      <c r="G340" s="15">
        <f>IF(B340&lt;=0,G339,G339+D340)</f>
        <v/>
      </c>
    </row>
    <row r="341">
      <c r="A341" t="n">
        <v>338</v>
      </c>
      <c r="B341" s="15">
        <f>IF(F340&lt;=0,0,F340)</f>
        <v/>
      </c>
      <c r="C341" s="15">
        <f>IF(B341&lt;=0,0,MIN(Assumptions!$B$13,B341+D341))</f>
        <v/>
      </c>
      <c r="D341" s="15">
        <f>IF(B341&lt;=0,0,B341*Assumptions!$B$6/12)</f>
        <v/>
      </c>
      <c r="E341" s="15">
        <f>IF(B341&lt;=0,0,C341-D341)</f>
        <v/>
      </c>
      <c r="F341" s="15">
        <f>IF(B341&lt;=0,0,B341-E341)</f>
        <v/>
      </c>
      <c r="G341" s="15">
        <f>IF(B341&lt;=0,G340,G340+D341)</f>
        <v/>
      </c>
    </row>
    <row r="342">
      <c r="A342" t="n">
        <v>339</v>
      </c>
      <c r="B342" s="15">
        <f>IF(F341&lt;=0,0,F341)</f>
        <v/>
      </c>
      <c r="C342" s="15">
        <f>IF(B342&lt;=0,0,MIN(Assumptions!$B$13,B342+D342))</f>
        <v/>
      </c>
      <c r="D342" s="15">
        <f>IF(B342&lt;=0,0,B342*Assumptions!$B$6/12)</f>
        <v/>
      </c>
      <c r="E342" s="15">
        <f>IF(B342&lt;=0,0,C342-D342)</f>
        <v/>
      </c>
      <c r="F342" s="15">
        <f>IF(B342&lt;=0,0,B342-E342)</f>
        <v/>
      </c>
      <c r="G342" s="15">
        <f>IF(B342&lt;=0,G341,G341+D342)</f>
        <v/>
      </c>
    </row>
    <row r="343">
      <c r="A343" t="n">
        <v>340</v>
      </c>
      <c r="B343" s="15">
        <f>IF(F342&lt;=0,0,F342)</f>
        <v/>
      </c>
      <c r="C343" s="15">
        <f>IF(B343&lt;=0,0,MIN(Assumptions!$B$13,B343+D343))</f>
        <v/>
      </c>
      <c r="D343" s="15">
        <f>IF(B343&lt;=0,0,B343*Assumptions!$B$6/12)</f>
        <v/>
      </c>
      <c r="E343" s="15">
        <f>IF(B343&lt;=0,0,C343-D343)</f>
        <v/>
      </c>
      <c r="F343" s="15">
        <f>IF(B343&lt;=0,0,B343-E343)</f>
        <v/>
      </c>
      <c r="G343" s="15">
        <f>IF(B343&lt;=0,G342,G342+D343)</f>
        <v/>
      </c>
    </row>
    <row r="344">
      <c r="A344" t="n">
        <v>341</v>
      </c>
      <c r="B344" s="15">
        <f>IF(F343&lt;=0,0,F343)</f>
        <v/>
      </c>
      <c r="C344" s="15">
        <f>IF(B344&lt;=0,0,MIN(Assumptions!$B$13,B344+D344))</f>
        <v/>
      </c>
      <c r="D344" s="15">
        <f>IF(B344&lt;=0,0,B344*Assumptions!$B$6/12)</f>
        <v/>
      </c>
      <c r="E344" s="15">
        <f>IF(B344&lt;=0,0,C344-D344)</f>
        <v/>
      </c>
      <c r="F344" s="15">
        <f>IF(B344&lt;=0,0,B344-E344)</f>
        <v/>
      </c>
      <c r="G344" s="15">
        <f>IF(B344&lt;=0,G343,G343+D344)</f>
        <v/>
      </c>
    </row>
    <row r="345">
      <c r="A345" t="n">
        <v>342</v>
      </c>
      <c r="B345" s="15">
        <f>IF(F344&lt;=0,0,F344)</f>
        <v/>
      </c>
      <c r="C345" s="15">
        <f>IF(B345&lt;=0,0,MIN(Assumptions!$B$13,B345+D345))</f>
        <v/>
      </c>
      <c r="D345" s="15">
        <f>IF(B345&lt;=0,0,B345*Assumptions!$B$6/12)</f>
        <v/>
      </c>
      <c r="E345" s="15">
        <f>IF(B345&lt;=0,0,C345-D345)</f>
        <v/>
      </c>
      <c r="F345" s="15">
        <f>IF(B345&lt;=0,0,B345-E345)</f>
        <v/>
      </c>
      <c r="G345" s="15">
        <f>IF(B345&lt;=0,G344,G344+D345)</f>
        <v/>
      </c>
    </row>
    <row r="346">
      <c r="A346" t="n">
        <v>343</v>
      </c>
      <c r="B346" s="15">
        <f>IF(F345&lt;=0,0,F345)</f>
        <v/>
      </c>
      <c r="C346" s="15">
        <f>IF(B346&lt;=0,0,MIN(Assumptions!$B$13,B346+D346))</f>
        <v/>
      </c>
      <c r="D346" s="15">
        <f>IF(B346&lt;=0,0,B346*Assumptions!$B$6/12)</f>
        <v/>
      </c>
      <c r="E346" s="15">
        <f>IF(B346&lt;=0,0,C346-D346)</f>
        <v/>
      </c>
      <c r="F346" s="15">
        <f>IF(B346&lt;=0,0,B346-E346)</f>
        <v/>
      </c>
      <c r="G346" s="15">
        <f>IF(B346&lt;=0,G345,G345+D346)</f>
        <v/>
      </c>
    </row>
    <row r="347">
      <c r="A347" t="n">
        <v>344</v>
      </c>
      <c r="B347" s="15">
        <f>IF(F346&lt;=0,0,F346)</f>
        <v/>
      </c>
      <c r="C347" s="15">
        <f>IF(B347&lt;=0,0,MIN(Assumptions!$B$13,B347+D347))</f>
        <v/>
      </c>
      <c r="D347" s="15">
        <f>IF(B347&lt;=0,0,B347*Assumptions!$B$6/12)</f>
        <v/>
      </c>
      <c r="E347" s="15">
        <f>IF(B347&lt;=0,0,C347-D347)</f>
        <v/>
      </c>
      <c r="F347" s="15">
        <f>IF(B347&lt;=0,0,B347-E347)</f>
        <v/>
      </c>
      <c r="G347" s="15">
        <f>IF(B347&lt;=0,G346,G346+D347)</f>
        <v/>
      </c>
    </row>
    <row r="348">
      <c r="A348" t="n">
        <v>345</v>
      </c>
      <c r="B348" s="15">
        <f>IF(F347&lt;=0,0,F347)</f>
        <v/>
      </c>
      <c r="C348" s="15">
        <f>IF(B348&lt;=0,0,MIN(Assumptions!$B$13,B348+D348))</f>
        <v/>
      </c>
      <c r="D348" s="15">
        <f>IF(B348&lt;=0,0,B348*Assumptions!$B$6/12)</f>
        <v/>
      </c>
      <c r="E348" s="15">
        <f>IF(B348&lt;=0,0,C348-D348)</f>
        <v/>
      </c>
      <c r="F348" s="15">
        <f>IF(B348&lt;=0,0,B348-E348)</f>
        <v/>
      </c>
      <c r="G348" s="15">
        <f>IF(B348&lt;=0,G347,G347+D348)</f>
        <v/>
      </c>
    </row>
    <row r="349">
      <c r="A349" t="n">
        <v>346</v>
      </c>
      <c r="B349" s="15">
        <f>IF(F348&lt;=0,0,F348)</f>
        <v/>
      </c>
      <c r="C349" s="15">
        <f>IF(B349&lt;=0,0,MIN(Assumptions!$B$13,B349+D349))</f>
        <v/>
      </c>
      <c r="D349" s="15">
        <f>IF(B349&lt;=0,0,B349*Assumptions!$B$6/12)</f>
        <v/>
      </c>
      <c r="E349" s="15">
        <f>IF(B349&lt;=0,0,C349-D349)</f>
        <v/>
      </c>
      <c r="F349" s="15">
        <f>IF(B349&lt;=0,0,B349-E349)</f>
        <v/>
      </c>
      <c r="G349" s="15">
        <f>IF(B349&lt;=0,G348,G348+D349)</f>
        <v/>
      </c>
    </row>
    <row r="350">
      <c r="A350" t="n">
        <v>347</v>
      </c>
      <c r="B350" s="15">
        <f>IF(F349&lt;=0,0,F349)</f>
        <v/>
      </c>
      <c r="C350" s="15">
        <f>IF(B350&lt;=0,0,MIN(Assumptions!$B$13,B350+D350))</f>
        <v/>
      </c>
      <c r="D350" s="15">
        <f>IF(B350&lt;=0,0,B350*Assumptions!$B$6/12)</f>
        <v/>
      </c>
      <c r="E350" s="15">
        <f>IF(B350&lt;=0,0,C350-D350)</f>
        <v/>
      </c>
      <c r="F350" s="15">
        <f>IF(B350&lt;=0,0,B350-E350)</f>
        <v/>
      </c>
      <c r="G350" s="15">
        <f>IF(B350&lt;=0,G349,G349+D350)</f>
        <v/>
      </c>
    </row>
    <row r="351">
      <c r="A351" t="n">
        <v>348</v>
      </c>
      <c r="B351" s="15">
        <f>IF(F350&lt;=0,0,F350)</f>
        <v/>
      </c>
      <c r="C351" s="15">
        <f>IF(B351&lt;=0,0,MIN(Assumptions!$B$13,B351+D351))</f>
        <v/>
      </c>
      <c r="D351" s="15">
        <f>IF(B351&lt;=0,0,B351*Assumptions!$B$6/12)</f>
        <v/>
      </c>
      <c r="E351" s="15">
        <f>IF(B351&lt;=0,0,C351-D351)</f>
        <v/>
      </c>
      <c r="F351" s="15">
        <f>IF(B351&lt;=0,0,B351-E351)</f>
        <v/>
      </c>
      <c r="G351" s="15">
        <f>IF(B351&lt;=0,G350,G350+D351)</f>
        <v/>
      </c>
    </row>
    <row r="352">
      <c r="A352" t="n">
        <v>349</v>
      </c>
      <c r="B352" s="15">
        <f>IF(F351&lt;=0,0,F351)</f>
        <v/>
      </c>
      <c r="C352" s="15">
        <f>IF(B352&lt;=0,0,MIN(Assumptions!$B$13,B352+D352))</f>
        <v/>
      </c>
      <c r="D352" s="15">
        <f>IF(B352&lt;=0,0,B352*Assumptions!$B$6/12)</f>
        <v/>
      </c>
      <c r="E352" s="15">
        <f>IF(B352&lt;=0,0,C352-D352)</f>
        <v/>
      </c>
      <c r="F352" s="15">
        <f>IF(B352&lt;=0,0,B352-E352)</f>
        <v/>
      </c>
      <c r="G352" s="15">
        <f>IF(B352&lt;=0,G351,G351+D352)</f>
        <v/>
      </c>
    </row>
    <row r="353">
      <c r="A353" t="n">
        <v>350</v>
      </c>
      <c r="B353" s="15">
        <f>IF(F352&lt;=0,0,F352)</f>
        <v/>
      </c>
      <c r="C353" s="15">
        <f>IF(B353&lt;=0,0,MIN(Assumptions!$B$13,B353+D353))</f>
        <v/>
      </c>
      <c r="D353" s="15">
        <f>IF(B353&lt;=0,0,B353*Assumptions!$B$6/12)</f>
        <v/>
      </c>
      <c r="E353" s="15">
        <f>IF(B353&lt;=0,0,C353-D353)</f>
        <v/>
      </c>
      <c r="F353" s="15">
        <f>IF(B353&lt;=0,0,B353-E353)</f>
        <v/>
      </c>
      <c r="G353" s="15">
        <f>IF(B353&lt;=0,G352,G352+D353)</f>
        <v/>
      </c>
    </row>
    <row r="354">
      <c r="A354" t="n">
        <v>351</v>
      </c>
      <c r="B354" s="15">
        <f>IF(F353&lt;=0,0,F353)</f>
        <v/>
      </c>
      <c r="C354" s="15">
        <f>IF(B354&lt;=0,0,MIN(Assumptions!$B$13,B354+D354))</f>
        <v/>
      </c>
      <c r="D354" s="15">
        <f>IF(B354&lt;=0,0,B354*Assumptions!$B$6/12)</f>
        <v/>
      </c>
      <c r="E354" s="15">
        <f>IF(B354&lt;=0,0,C354-D354)</f>
        <v/>
      </c>
      <c r="F354" s="15">
        <f>IF(B354&lt;=0,0,B354-E354)</f>
        <v/>
      </c>
      <c r="G354" s="15">
        <f>IF(B354&lt;=0,G353,G353+D354)</f>
        <v/>
      </c>
    </row>
    <row r="355">
      <c r="A355" t="n">
        <v>352</v>
      </c>
      <c r="B355" s="15">
        <f>IF(F354&lt;=0,0,F354)</f>
        <v/>
      </c>
      <c r="C355" s="15">
        <f>IF(B355&lt;=0,0,MIN(Assumptions!$B$13,B355+D355))</f>
        <v/>
      </c>
      <c r="D355" s="15">
        <f>IF(B355&lt;=0,0,B355*Assumptions!$B$6/12)</f>
        <v/>
      </c>
      <c r="E355" s="15">
        <f>IF(B355&lt;=0,0,C355-D355)</f>
        <v/>
      </c>
      <c r="F355" s="15">
        <f>IF(B355&lt;=0,0,B355-E355)</f>
        <v/>
      </c>
      <c r="G355" s="15">
        <f>IF(B355&lt;=0,G354,G354+D355)</f>
        <v/>
      </c>
    </row>
    <row r="356">
      <c r="A356" t="n">
        <v>353</v>
      </c>
      <c r="B356" s="15">
        <f>IF(F355&lt;=0,0,F355)</f>
        <v/>
      </c>
      <c r="C356" s="15">
        <f>IF(B356&lt;=0,0,MIN(Assumptions!$B$13,B356+D356))</f>
        <v/>
      </c>
      <c r="D356" s="15">
        <f>IF(B356&lt;=0,0,B356*Assumptions!$B$6/12)</f>
        <v/>
      </c>
      <c r="E356" s="15">
        <f>IF(B356&lt;=0,0,C356-D356)</f>
        <v/>
      </c>
      <c r="F356" s="15">
        <f>IF(B356&lt;=0,0,B356-E356)</f>
        <v/>
      </c>
      <c r="G356" s="15">
        <f>IF(B356&lt;=0,G355,G355+D356)</f>
        <v/>
      </c>
    </row>
    <row r="357">
      <c r="A357" t="n">
        <v>354</v>
      </c>
      <c r="B357" s="15">
        <f>IF(F356&lt;=0,0,F356)</f>
        <v/>
      </c>
      <c r="C357" s="15">
        <f>IF(B357&lt;=0,0,MIN(Assumptions!$B$13,B357+D357))</f>
        <v/>
      </c>
      <c r="D357" s="15">
        <f>IF(B357&lt;=0,0,B357*Assumptions!$B$6/12)</f>
        <v/>
      </c>
      <c r="E357" s="15">
        <f>IF(B357&lt;=0,0,C357-D357)</f>
        <v/>
      </c>
      <c r="F357" s="15">
        <f>IF(B357&lt;=0,0,B357-E357)</f>
        <v/>
      </c>
      <c r="G357" s="15">
        <f>IF(B357&lt;=0,G356,G356+D357)</f>
        <v/>
      </c>
    </row>
    <row r="358">
      <c r="A358" t="n">
        <v>355</v>
      </c>
      <c r="B358" s="15">
        <f>IF(F357&lt;=0,0,F357)</f>
        <v/>
      </c>
      <c r="C358" s="15">
        <f>IF(B358&lt;=0,0,MIN(Assumptions!$B$13,B358+D358))</f>
        <v/>
      </c>
      <c r="D358" s="15">
        <f>IF(B358&lt;=0,0,B358*Assumptions!$B$6/12)</f>
        <v/>
      </c>
      <c r="E358" s="15">
        <f>IF(B358&lt;=0,0,C358-D358)</f>
        <v/>
      </c>
      <c r="F358" s="15">
        <f>IF(B358&lt;=0,0,B358-E358)</f>
        <v/>
      </c>
      <c r="G358" s="15">
        <f>IF(B358&lt;=0,G357,G357+D358)</f>
        <v/>
      </c>
    </row>
    <row r="359">
      <c r="A359" t="n">
        <v>356</v>
      </c>
      <c r="B359" s="15">
        <f>IF(F358&lt;=0,0,F358)</f>
        <v/>
      </c>
      <c r="C359" s="15">
        <f>IF(B359&lt;=0,0,MIN(Assumptions!$B$13,B359+D359))</f>
        <v/>
      </c>
      <c r="D359" s="15">
        <f>IF(B359&lt;=0,0,B359*Assumptions!$B$6/12)</f>
        <v/>
      </c>
      <c r="E359" s="15">
        <f>IF(B359&lt;=0,0,C359-D359)</f>
        <v/>
      </c>
      <c r="F359" s="15">
        <f>IF(B359&lt;=0,0,B359-E359)</f>
        <v/>
      </c>
      <c r="G359" s="15">
        <f>IF(B359&lt;=0,G358,G358+D359)</f>
        <v/>
      </c>
    </row>
    <row r="360">
      <c r="A360" t="n">
        <v>357</v>
      </c>
      <c r="B360" s="15">
        <f>IF(F359&lt;=0,0,F359)</f>
        <v/>
      </c>
      <c r="C360" s="15">
        <f>IF(B360&lt;=0,0,MIN(Assumptions!$B$13,B360+D360))</f>
        <v/>
      </c>
      <c r="D360" s="15">
        <f>IF(B360&lt;=0,0,B360*Assumptions!$B$6/12)</f>
        <v/>
      </c>
      <c r="E360" s="15">
        <f>IF(B360&lt;=0,0,C360-D360)</f>
        <v/>
      </c>
      <c r="F360" s="15">
        <f>IF(B360&lt;=0,0,B360-E360)</f>
        <v/>
      </c>
      <c r="G360" s="15">
        <f>IF(B360&lt;=0,G359,G359+D360)</f>
        <v/>
      </c>
    </row>
    <row r="361">
      <c r="A361" t="n">
        <v>358</v>
      </c>
      <c r="B361" s="15">
        <f>IF(F360&lt;=0,0,F360)</f>
        <v/>
      </c>
      <c r="C361" s="15">
        <f>IF(B361&lt;=0,0,MIN(Assumptions!$B$13,B361+D361))</f>
        <v/>
      </c>
      <c r="D361" s="15">
        <f>IF(B361&lt;=0,0,B361*Assumptions!$B$6/12)</f>
        <v/>
      </c>
      <c r="E361" s="15">
        <f>IF(B361&lt;=0,0,C361-D361)</f>
        <v/>
      </c>
      <c r="F361" s="15">
        <f>IF(B361&lt;=0,0,B361-E361)</f>
        <v/>
      </c>
      <c r="G361" s="15">
        <f>IF(B361&lt;=0,G360,G360+D361)</f>
        <v/>
      </c>
    </row>
    <row r="362">
      <c r="A362" t="n">
        <v>359</v>
      </c>
      <c r="B362" s="15">
        <f>IF(F361&lt;=0,0,F361)</f>
        <v/>
      </c>
      <c r="C362" s="15">
        <f>IF(B362&lt;=0,0,MIN(Assumptions!$B$13,B362+D362))</f>
        <v/>
      </c>
      <c r="D362" s="15">
        <f>IF(B362&lt;=0,0,B362*Assumptions!$B$6/12)</f>
        <v/>
      </c>
      <c r="E362" s="15">
        <f>IF(B362&lt;=0,0,C362-D362)</f>
        <v/>
      </c>
      <c r="F362" s="15">
        <f>IF(B362&lt;=0,0,B362-E362)</f>
        <v/>
      </c>
      <c r="G362" s="15">
        <f>IF(B362&lt;=0,G361,G361+D362)</f>
        <v/>
      </c>
    </row>
    <row r="363">
      <c r="A363" t="n">
        <v>360</v>
      </c>
      <c r="B363" s="15">
        <f>IF(F362&lt;=0,0,F362)</f>
        <v/>
      </c>
      <c r="C363" s="15">
        <f>IF(B363&lt;=0,0,MIN(Assumptions!$B$13,B363+D363))</f>
        <v/>
      </c>
      <c r="D363" s="15">
        <f>IF(B363&lt;=0,0,B363*Assumptions!$B$6/12)</f>
        <v/>
      </c>
      <c r="E363" s="15">
        <f>IF(B363&lt;=0,0,C363-D363)</f>
        <v/>
      </c>
      <c r="F363" s="15">
        <f>IF(B363&lt;=0,0,B363-E363)</f>
        <v/>
      </c>
      <c r="G363" s="15">
        <f>IF(B363&lt;=0,G362,G362+D363)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3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14" customWidth="1" min="3" max="3"/>
    <col width="13" customWidth="1" min="4" max="4"/>
    <col width="13" customWidth="1" min="5" max="5"/>
    <col width="17" customWidth="1" min="6" max="6"/>
    <col width="18" customWidth="1" min="7" max="7"/>
  </cols>
  <sheetData>
    <row r="1">
      <c r="A1" s="14" t="inlineStr">
        <is>
          <t>Accelerated schedule — scheduled payment plus extra principal</t>
        </is>
      </c>
    </row>
    <row r="3">
      <c r="A3" s="3" t="inlineStr">
        <is>
          <t>Month</t>
        </is>
      </c>
      <c r="B3" s="3" t="inlineStr">
        <is>
          <t>Opening balance</t>
        </is>
      </c>
      <c r="C3" s="3" t="inlineStr">
        <is>
          <t>Payment</t>
        </is>
      </c>
      <c r="D3" s="3" t="inlineStr">
        <is>
          <t>Interest</t>
        </is>
      </c>
      <c r="E3" s="3" t="inlineStr">
        <is>
          <t>Principal</t>
        </is>
      </c>
      <c r="F3" s="3" t="inlineStr">
        <is>
          <t>Closing balance</t>
        </is>
      </c>
      <c r="G3" s="3" t="inlineStr">
        <is>
          <t>Cumulative interest</t>
        </is>
      </c>
    </row>
    <row r="4">
      <c r="A4" t="n">
        <v>1</v>
      </c>
      <c r="B4" s="15">
        <f>IF(Assumptions!$B$5&lt;=0,0,Assumptions!$B$5)</f>
        <v/>
      </c>
      <c r="C4" s="15">
        <f>IF(B4&lt;=0,0,MIN(Assumptions!$B$14,B4+D4))</f>
        <v/>
      </c>
      <c r="D4" s="15">
        <f>IF(B4&lt;=0,0,B4*Assumptions!$B$6/12)</f>
        <v/>
      </c>
      <c r="E4" s="15">
        <f>IF(B4&lt;=0,0,C4-D4)</f>
        <v/>
      </c>
      <c r="F4" s="15">
        <f>IF(B4&lt;=0,0,B4-E4)</f>
        <v/>
      </c>
      <c r="G4" s="15">
        <f>IF(B4&lt;=0,G3,D4)</f>
        <v/>
      </c>
    </row>
    <row r="5">
      <c r="A5" t="n">
        <v>2</v>
      </c>
      <c r="B5" s="15">
        <f>IF(F4&lt;=0,0,F4)</f>
        <v/>
      </c>
      <c r="C5" s="15">
        <f>IF(B5&lt;=0,0,MIN(Assumptions!$B$14,B5+D5))</f>
        <v/>
      </c>
      <c r="D5" s="15">
        <f>IF(B5&lt;=0,0,B5*Assumptions!$B$6/12)</f>
        <v/>
      </c>
      <c r="E5" s="15">
        <f>IF(B5&lt;=0,0,C5-D5)</f>
        <v/>
      </c>
      <c r="F5" s="15">
        <f>IF(B5&lt;=0,0,B5-E5)</f>
        <v/>
      </c>
      <c r="G5" s="15">
        <f>IF(B5&lt;=0,G4,G4+D5)</f>
        <v/>
      </c>
    </row>
    <row r="6">
      <c r="A6" t="n">
        <v>3</v>
      </c>
      <c r="B6" s="15">
        <f>IF(F5&lt;=0,0,F5)</f>
        <v/>
      </c>
      <c r="C6" s="15">
        <f>IF(B6&lt;=0,0,MIN(Assumptions!$B$14,B6+D6))</f>
        <v/>
      </c>
      <c r="D6" s="15">
        <f>IF(B6&lt;=0,0,B6*Assumptions!$B$6/12)</f>
        <v/>
      </c>
      <c r="E6" s="15">
        <f>IF(B6&lt;=0,0,C6-D6)</f>
        <v/>
      </c>
      <c r="F6" s="15">
        <f>IF(B6&lt;=0,0,B6-E6)</f>
        <v/>
      </c>
      <c r="G6" s="15">
        <f>IF(B6&lt;=0,G5,G5+D6)</f>
        <v/>
      </c>
    </row>
    <row r="7">
      <c r="A7" t="n">
        <v>4</v>
      </c>
      <c r="B7" s="15">
        <f>IF(F6&lt;=0,0,F6)</f>
        <v/>
      </c>
      <c r="C7" s="15">
        <f>IF(B7&lt;=0,0,MIN(Assumptions!$B$14,B7+D7))</f>
        <v/>
      </c>
      <c r="D7" s="15">
        <f>IF(B7&lt;=0,0,B7*Assumptions!$B$6/12)</f>
        <v/>
      </c>
      <c r="E7" s="15">
        <f>IF(B7&lt;=0,0,C7-D7)</f>
        <v/>
      </c>
      <c r="F7" s="15">
        <f>IF(B7&lt;=0,0,B7-E7)</f>
        <v/>
      </c>
      <c r="G7" s="15">
        <f>IF(B7&lt;=0,G6,G6+D7)</f>
        <v/>
      </c>
    </row>
    <row r="8">
      <c r="A8" t="n">
        <v>5</v>
      </c>
      <c r="B8" s="15">
        <f>IF(F7&lt;=0,0,F7)</f>
        <v/>
      </c>
      <c r="C8" s="15">
        <f>IF(B8&lt;=0,0,MIN(Assumptions!$B$14,B8+D8))</f>
        <v/>
      </c>
      <c r="D8" s="15">
        <f>IF(B8&lt;=0,0,B8*Assumptions!$B$6/12)</f>
        <v/>
      </c>
      <c r="E8" s="15">
        <f>IF(B8&lt;=0,0,C8-D8)</f>
        <v/>
      </c>
      <c r="F8" s="15">
        <f>IF(B8&lt;=0,0,B8-E8)</f>
        <v/>
      </c>
      <c r="G8" s="15">
        <f>IF(B8&lt;=0,G7,G7+D8)</f>
        <v/>
      </c>
    </row>
    <row r="9">
      <c r="A9" t="n">
        <v>6</v>
      </c>
      <c r="B9" s="15">
        <f>IF(F8&lt;=0,0,F8)</f>
        <v/>
      </c>
      <c r="C9" s="15">
        <f>IF(B9&lt;=0,0,MIN(Assumptions!$B$14,B9+D9))</f>
        <v/>
      </c>
      <c r="D9" s="15">
        <f>IF(B9&lt;=0,0,B9*Assumptions!$B$6/12)</f>
        <v/>
      </c>
      <c r="E9" s="15">
        <f>IF(B9&lt;=0,0,C9-D9)</f>
        <v/>
      </c>
      <c r="F9" s="15">
        <f>IF(B9&lt;=0,0,B9-E9)</f>
        <v/>
      </c>
      <c r="G9" s="15">
        <f>IF(B9&lt;=0,G8,G8+D9)</f>
        <v/>
      </c>
    </row>
    <row r="10">
      <c r="A10" t="n">
        <v>7</v>
      </c>
      <c r="B10" s="15">
        <f>IF(F9&lt;=0,0,F9)</f>
        <v/>
      </c>
      <c r="C10" s="15">
        <f>IF(B10&lt;=0,0,MIN(Assumptions!$B$14,B10+D10))</f>
        <v/>
      </c>
      <c r="D10" s="15">
        <f>IF(B10&lt;=0,0,B10*Assumptions!$B$6/12)</f>
        <v/>
      </c>
      <c r="E10" s="15">
        <f>IF(B10&lt;=0,0,C10-D10)</f>
        <v/>
      </c>
      <c r="F10" s="15">
        <f>IF(B10&lt;=0,0,B10-E10)</f>
        <v/>
      </c>
      <c r="G10" s="15">
        <f>IF(B10&lt;=0,G9,G9+D10)</f>
        <v/>
      </c>
    </row>
    <row r="11">
      <c r="A11" t="n">
        <v>8</v>
      </c>
      <c r="B11" s="15">
        <f>IF(F10&lt;=0,0,F10)</f>
        <v/>
      </c>
      <c r="C11" s="15">
        <f>IF(B11&lt;=0,0,MIN(Assumptions!$B$14,B11+D11))</f>
        <v/>
      </c>
      <c r="D11" s="15">
        <f>IF(B11&lt;=0,0,B11*Assumptions!$B$6/12)</f>
        <v/>
      </c>
      <c r="E11" s="15">
        <f>IF(B11&lt;=0,0,C11-D11)</f>
        <v/>
      </c>
      <c r="F11" s="15">
        <f>IF(B11&lt;=0,0,B11-E11)</f>
        <v/>
      </c>
      <c r="G11" s="15">
        <f>IF(B11&lt;=0,G10,G10+D11)</f>
        <v/>
      </c>
    </row>
    <row r="12">
      <c r="A12" t="n">
        <v>9</v>
      </c>
      <c r="B12" s="15">
        <f>IF(F11&lt;=0,0,F11)</f>
        <v/>
      </c>
      <c r="C12" s="15">
        <f>IF(B12&lt;=0,0,MIN(Assumptions!$B$14,B12+D12))</f>
        <v/>
      </c>
      <c r="D12" s="15">
        <f>IF(B12&lt;=0,0,B12*Assumptions!$B$6/12)</f>
        <v/>
      </c>
      <c r="E12" s="15">
        <f>IF(B12&lt;=0,0,C12-D12)</f>
        <v/>
      </c>
      <c r="F12" s="15">
        <f>IF(B12&lt;=0,0,B12-E12)</f>
        <v/>
      </c>
      <c r="G12" s="15">
        <f>IF(B12&lt;=0,G11,G11+D12)</f>
        <v/>
      </c>
    </row>
    <row r="13">
      <c r="A13" t="n">
        <v>10</v>
      </c>
      <c r="B13" s="15">
        <f>IF(F12&lt;=0,0,F12)</f>
        <v/>
      </c>
      <c r="C13" s="15">
        <f>IF(B13&lt;=0,0,MIN(Assumptions!$B$14,B13+D13))</f>
        <v/>
      </c>
      <c r="D13" s="15">
        <f>IF(B13&lt;=0,0,B13*Assumptions!$B$6/12)</f>
        <v/>
      </c>
      <c r="E13" s="15">
        <f>IF(B13&lt;=0,0,C13-D13)</f>
        <v/>
      </c>
      <c r="F13" s="15">
        <f>IF(B13&lt;=0,0,B13-E13)</f>
        <v/>
      </c>
      <c r="G13" s="15">
        <f>IF(B13&lt;=0,G12,G12+D13)</f>
        <v/>
      </c>
    </row>
    <row r="14">
      <c r="A14" t="n">
        <v>11</v>
      </c>
      <c r="B14" s="15">
        <f>IF(F13&lt;=0,0,F13)</f>
        <v/>
      </c>
      <c r="C14" s="15">
        <f>IF(B14&lt;=0,0,MIN(Assumptions!$B$14,B14+D14))</f>
        <v/>
      </c>
      <c r="D14" s="15">
        <f>IF(B14&lt;=0,0,B14*Assumptions!$B$6/12)</f>
        <v/>
      </c>
      <c r="E14" s="15">
        <f>IF(B14&lt;=0,0,C14-D14)</f>
        <v/>
      </c>
      <c r="F14" s="15">
        <f>IF(B14&lt;=0,0,B14-E14)</f>
        <v/>
      </c>
      <c r="G14" s="15">
        <f>IF(B14&lt;=0,G13,G13+D14)</f>
        <v/>
      </c>
    </row>
    <row r="15">
      <c r="A15" t="n">
        <v>12</v>
      </c>
      <c r="B15" s="15">
        <f>IF(F14&lt;=0,0,F14)</f>
        <v/>
      </c>
      <c r="C15" s="15">
        <f>IF(B15&lt;=0,0,MIN(Assumptions!$B$14,B15+D15))</f>
        <v/>
      </c>
      <c r="D15" s="15">
        <f>IF(B15&lt;=0,0,B15*Assumptions!$B$6/12)</f>
        <v/>
      </c>
      <c r="E15" s="15">
        <f>IF(B15&lt;=0,0,C15-D15)</f>
        <v/>
      </c>
      <c r="F15" s="15">
        <f>IF(B15&lt;=0,0,B15-E15)</f>
        <v/>
      </c>
      <c r="G15" s="15">
        <f>IF(B15&lt;=0,G14,G14+D15)</f>
        <v/>
      </c>
    </row>
    <row r="16">
      <c r="A16" t="n">
        <v>13</v>
      </c>
      <c r="B16" s="15">
        <f>IF(F15&lt;=0,0,F15)</f>
        <v/>
      </c>
      <c r="C16" s="15">
        <f>IF(B16&lt;=0,0,MIN(Assumptions!$B$14,B16+D16))</f>
        <v/>
      </c>
      <c r="D16" s="15">
        <f>IF(B16&lt;=0,0,B16*Assumptions!$B$6/12)</f>
        <v/>
      </c>
      <c r="E16" s="15">
        <f>IF(B16&lt;=0,0,C16-D16)</f>
        <v/>
      </c>
      <c r="F16" s="15">
        <f>IF(B16&lt;=0,0,B16-E16)</f>
        <v/>
      </c>
      <c r="G16" s="15">
        <f>IF(B16&lt;=0,G15,G15+D16)</f>
        <v/>
      </c>
    </row>
    <row r="17">
      <c r="A17" t="n">
        <v>14</v>
      </c>
      <c r="B17" s="15">
        <f>IF(F16&lt;=0,0,F16)</f>
        <v/>
      </c>
      <c r="C17" s="15">
        <f>IF(B17&lt;=0,0,MIN(Assumptions!$B$14,B17+D17))</f>
        <v/>
      </c>
      <c r="D17" s="15">
        <f>IF(B17&lt;=0,0,B17*Assumptions!$B$6/12)</f>
        <v/>
      </c>
      <c r="E17" s="15">
        <f>IF(B17&lt;=0,0,C17-D17)</f>
        <v/>
      </c>
      <c r="F17" s="15">
        <f>IF(B17&lt;=0,0,B17-E17)</f>
        <v/>
      </c>
      <c r="G17" s="15">
        <f>IF(B17&lt;=0,G16,G16+D17)</f>
        <v/>
      </c>
    </row>
    <row r="18">
      <c r="A18" t="n">
        <v>15</v>
      </c>
      <c r="B18" s="15">
        <f>IF(F17&lt;=0,0,F17)</f>
        <v/>
      </c>
      <c r="C18" s="15">
        <f>IF(B18&lt;=0,0,MIN(Assumptions!$B$14,B18+D18))</f>
        <v/>
      </c>
      <c r="D18" s="15">
        <f>IF(B18&lt;=0,0,B18*Assumptions!$B$6/12)</f>
        <v/>
      </c>
      <c r="E18" s="15">
        <f>IF(B18&lt;=0,0,C18-D18)</f>
        <v/>
      </c>
      <c r="F18" s="15">
        <f>IF(B18&lt;=0,0,B18-E18)</f>
        <v/>
      </c>
      <c r="G18" s="15">
        <f>IF(B18&lt;=0,G17,G17+D18)</f>
        <v/>
      </c>
    </row>
    <row r="19">
      <c r="A19" t="n">
        <v>16</v>
      </c>
      <c r="B19" s="15">
        <f>IF(F18&lt;=0,0,F18)</f>
        <v/>
      </c>
      <c r="C19" s="15">
        <f>IF(B19&lt;=0,0,MIN(Assumptions!$B$14,B19+D19))</f>
        <v/>
      </c>
      <c r="D19" s="15">
        <f>IF(B19&lt;=0,0,B19*Assumptions!$B$6/12)</f>
        <v/>
      </c>
      <c r="E19" s="15">
        <f>IF(B19&lt;=0,0,C19-D19)</f>
        <v/>
      </c>
      <c r="F19" s="15">
        <f>IF(B19&lt;=0,0,B19-E19)</f>
        <v/>
      </c>
      <c r="G19" s="15">
        <f>IF(B19&lt;=0,G18,G18+D19)</f>
        <v/>
      </c>
    </row>
    <row r="20">
      <c r="A20" t="n">
        <v>17</v>
      </c>
      <c r="B20" s="15">
        <f>IF(F19&lt;=0,0,F19)</f>
        <v/>
      </c>
      <c r="C20" s="15">
        <f>IF(B20&lt;=0,0,MIN(Assumptions!$B$14,B20+D20))</f>
        <v/>
      </c>
      <c r="D20" s="15">
        <f>IF(B20&lt;=0,0,B20*Assumptions!$B$6/12)</f>
        <v/>
      </c>
      <c r="E20" s="15">
        <f>IF(B20&lt;=0,0,C20-D20)</f>
        <v/>
      </c>
      <c r="F20" s="15">
        <f>IF(B20&lt;=0,0,B20-E20)</f>
        <v/>
      </c>
      <c r="G20" s="15">
        <f>IF(B20&lt;=0,G19,G19+D20)</f>
        <v/>
      </c>
    </row>
    <row r="21">
      <c r="A21" t="n">
        <v>18</v>
      </c>
      <c r="B21" s="15">
        <f>IF(F20&lt;=0,0,F20)</f>
        <v/>
      </c>
      <c r="C21" s="15">
        <f>IF(B21&lt;=0,0,MIN(Assumptions!$B$14,B21+D21))</f>
        <v/>
      </c>
      <c r="D21" s="15">
        <f>IF(B21&lt;=0,0,B21*Assumptions!$B$6/12)</f>
        <v/>
      </c>
      <c r="E21" s="15">
        <f>IF(B21&lt;=0,0,C21-D21)</f>
        <v/>
      </c>
      <c r="F21" s="15">
        <f>IF(B21&lt;=0,0,B21-E21)</f>
        <v/>
      </c>
      <c r="G21" s="15">
        <f>IF(B21&lt;=0,G20,G20+D21)</f>
        <v/>
      </c>
    </row>
    <row r="22">
      <c r="A22" t="n">
        <v>19</v>
      </c>
      <c r="B22" s="15">
        <f>IF(F21&lt;=0,0,F21)</f>
        <v/>
      </c>
      <c r="C22" s="15">
        <f>IF(B22&lt;=0,0,MIN(Assumptions!$B$14,B22+D22))</f>
        <v/>
      </c>
      <c r="D22" s="15">
        <f>IF(B22&lt;=0,0,B22*Assumptions!$B$6/12)</f>
        <v/>
      </c>
      <c r="E22" s="15">
        <f>IF(B22&lt;=0,0,C22-D22)</f>
        <v/>
      </c>
      <c r="F22" s="15">
        <f>IF(B22&lt;=0,0,B22-E22)</f>
        <v/>
      </c>
      <c r="G22" s="15">
        <f>IF(B22&lt;=0,G21,G21+D22)</f>
        <v/>
      </c>
    </row>
    <row r="23">
      <c r="A23" t="n">
        <v>20</v>
      </c>
      <c r="B23" s="15">
        <f>IF(F22&lt;=0,0,F22)</f>
        <v/>
      </c>
      <c r="C23" s="15">
        <f>IF(B23&lt;=0,0,MIN(Assumptions!$B$14,B23+D23))</f>
        <v/>
      </c>
      <c r="D23" s="15">
        <f>IF(B23&lt;=0,0,B23*Assumptions!$B$6/12)</f>
        <v/>
      </c>
      <c r="E23" s="15">
        <f>IF(B23&lt;=0,0,C23-D23)</f>
        <v/>
      </c>
      <c r="F23" s="15">
        <f>IF(B23&lt;=0,0,B23-E23)</f>
        <v/>
      </c>
      <c r="G23" s="15">
        <f>IF(B23&lt;=0,G22,G22+D23)</f>
        <v/>
      </c>
    </row>
    <row r="24">
      <c r="A24" t="n">
        <v>21</v>
      </c>
      <c r="B24" s="15">
        <f>IF(F23&lt;=0,0,F23)</f>
        <v/>
      </c>
      <c r="C24" s="15">
        <f>IF(B24&lt;=0,0,MIN(Assumptions!$B$14,B24+D24))</f>
        <v/>
      </c>
      <c r="D24" s="15">
        <f>IF(B24&lt;=0,0,B24*Assumptions!$B$6/12)</f>
        <v/>
      </c>
      <c r="E24" s="15">
        <f>IF(B24&lt;=0,0,C24-D24)</f>
        <v/>
      </c>
      <c r="F24" s="15">
        <f>IF(B24&lt;=0,0,B24-E24)</f>
        <v/>
      </c>
      <c r="G24" s="15">
        <f>IF(B24&lt;=0,G23,G23+D24)</f>
        <v/>
      </c>
    </row>
    <row r="25">
      <c r="A25" t="n">
        <v>22</v>
      </c>
      <c r="B25" s="15">
        <f>IF(F24&lt;=0,0,F24)</f>
        <v/>
      </c>
      <c r="C25" s="15">
        <f>IF(B25&lt;=0,0,MIN(Assumptions!$B$14,B25+D25))</f>
        <v/>
      </c>
      <c r="D25" s="15">
        <f>IF(B25&lt;=0,0,B25*Assumptions!$B$6/12)</f>
        <v/>
      </c>
      <c r="E25" s="15">
        <f>IF(B25&lt;=0,0,C25-D25)</f>
        <v/>
      </c>
      <c r="F25" s="15">
        <f>IF(B25&lt;=0,0,B25-E25)</f>
        <v/>
      </c>
      <c r="G25" s="15">
        <f>IF(B25&lt;=0,G24,G24+D25)</f>
        <v/>
      </c>
    </row>
    <row r="26">
      <c r="A26" t="n">
        <v>23</v>
      </c>
      <c r="B26" s="15">
        <f>IF(F25&lt;=0,0,F25)</f>
        <v/>
      </c>
      <c r="C26" s="15">
        <f>IF(B26&lt;=0,0,MIN(Assumptions!$B$14,B26+D26))</f>
        <v/>
      </c>
      <c r="D26" s="15">
        <f>IF(B26&lt;=0,0,B26*Assumptions!$B$6/12)</f>
        <v/>
      </c>
      <c r="E26" s="15">
        <f>IF(B26&lt;=0,0,C26-D26)</f>
        <v/>
      </c>
      <c r="F26" s="15">
        <f>IF(B26&lt;=0,0,B26-E26)</f>
        <v/>
      </c>
      <c r="G26" s="15">
        <f>IF(B26&lt;=0,G25,G25+D26)</f>
        <v/>
      </c>
    </row>
    <row r="27">
      <c r="A27" t="n">
        <v>24</v>
      </c>
      <c r="B27" s="15">
        <f>IF(F26&lt;=0,0,F26)</f>
        <v/>
      </c>
      <c r="C27" s="15">
        <f>IF(B27&lt;=0,0,MIN(Assumptions!$B$14,B27+D27))</f>
        <v/>
      </c>
      <c r="D27" s="15">
        <f>IF(B27&lt;=0,0,B27*Assumptions!$B$6/12)</f>
        <v/>
      </c>
      <c r="E27" s="15">
        <f>IF(B27&lt;=0,0,C27-D27)</f>
        <v/>
      </c>
      <c r="F27" s="15">
        <f>IF(B27&lt;=0,0,B27-E27)</f>
        <v/>
      </c>
      <c r="G27" s="15">
        <f>IF(B27&lt;=0,G26,G26+D27)</f>
        <v/>
      </c>
    </row>
    <row r="28">
      <c r="A28" t="n">
        <v>25</v>
      </c>
      <c r="B28" s="15">
        <f>IF(F27&lt;=0,0,F27)</f>
        <v/>
      </c>
      <c r="C28" s="15">
        <f>IF(B28&lt;=0,0,MIN(Assumptions!$B$14,B28+D28))</f>
        <v/>
      </c>
      <c r="D28" s="15">
        <f>IF(B28&lt;=0,0,B28*Assumptions!$B$6/12)</f>
        <v/>
      </c>
      <c r="E28" s="15">
        <f>IF(B28&lt;=0,0,C28-D28)</f>
        <v/>
      </c>
      <c r="F28" s="15">
        <f>IF(B28&lt;=0,0,B28-E28)</f>
        <v/>
      </c>
      <c r="G28" s="15">
        <f>IF(B28&lt;=0,G27,G27+D28)</f>
        <v/>
      </c>
    </row>
    <row r="29">
      <c r="A29" t="n">
        <v>26</v>
      </c>
      <c r="B29" s="15">
        <f>IF(F28&lt;=0,0,F28)</f>
        <v/>
      </c>
      <c r="C29" s="15">
        <f>IF(B29&lt;=0,0,MIN(Assumptions!$B$14,B29+D29))</f>
        <v/>
      </c>
      <c r="D29" s="15">
        <f>IF(B29&lt;=0,0,B29*Assumptions!$B$6/12)</f>
        <v/>
      </c>
      <c r="E29" s="15">
        <f>IF(B29&lt;=0,0,C29-D29)</f>
        <v/>
      </c>
      <c r="F29" s="15">
        <f>IF(B29&lt;=0,0,B29-E29)</f>
        <v/>
      </c>
      <c r="G29" s="15">
        <f>IF(B29&lt;=0,G28,G28+D29)</f>
        <v/>
      </c>
    </row>
    <row r="30">
      <c r="A30" t="n">
        <v>27</v>
      </c>
      <c r="B30" s="15">
        <f>IF(F29&lt;=0,0,F29)</f>
        <v/>
      </c>
      <c r="C30" s="15">
        <f>IF(B30&lt;=0,0,MIN(Assumptions!$B$14,B30+D30))</f>
        <v/>
      </c>
      <c r="D30" s="15">
        <f>IF(B30&lt;=0,0,B30*Assumptions!$B$6/12)</f>
        <v/>
      </c>
      <c r="E30" s="15">
        <f>IF(B30&lt;=0,0,C30-D30)</f>
        <v/>
      </c>
      <c r="F30" s="15">
        <f>IF(B30&lt;=0,0,B30-E30)</f>
        <v/>
      </c>
      <c r="G30" s="15">
        <f>IF(B30&lt;=0,G29,G29+D30)</f>
        <v/>
      </c>
    </row>
    <row r="31">
      <c r="A31" t="n">
        <v>28</v>
      </c>
      <c r="B31" s="15">
        <f>IF(F30&lt;=0,0,F30)</f>
        <v/>
      </c>
      <c r="C31" s="15">
        <f>IF(B31&lt;=0,0,MIN(Assumptions!$B$14,B31+D31))</f>
        <v/>
      </c>
      <c r="D31" s="15">
        <f>IF(B31&lt;=0,0,B31*Assumptions!$B$6/12)</f>
        <v/>
      </c>
      <c r="E31" s="15">
        <f>IF(B31&lt;=0,0,C31-D31)</f>
        <v/>
      </c>
      <c r="F31" s="15">
        <f>IF(B31&lt;=0,0,B31-E31)</f>
        <v/>
      </c>
      <c r="G31" s="15">
        <f>IF(B31&lt;=0,G30,G30+D31)</f>
        <v/>
      </c>
    </row>
    <row r="32">
      <c r="A32" t="n">
        <v>29</v>
      </c>
      <c r="B32" s="15">
        <f>IF(F31&lt;=0,0,F31)</f>
        <v/>
      </c>
      <c r="C32" s="15">
        <f>IF(B32&lt;=0,0,MIN(Assumptions!$B$14,B32+D32))</f>
        <v/>
      </c>
      <c r="D32" s="15">
        <f>IF(B32&lt;=0,0,B32*Assumptions!$B$6/12)</f>
        <v/>
      </c>
      <c r="E32" s="15">
        <f>IF(B32&lt;=0,0,C32-D32)</f>
        <v/>
      </c>
      <c r="F32" s="15">
        <f>IF(B32&lt;=0,0,B32-E32)</f>
        <v/>
      </c>
      <c r="G32" s="15">
        <f>IF(B32&lt;=0,G31,G31+D32)</f>
        <v/>
      </c>
    </row>
    <row r="33">
      <c r="A33" t="n">
        <v>30</v>
      </c>
      <c r="B33" s="15">
        <f>IF(F32&lt;=0,0,F32)</f>
        <v/>
      </c>
      <c r="C33" s="15">
        <f>IF(B33&lt;=0,0,MIN(Assumptions!$B$14,B33+D33))</f>
        <v/>
      </c>
      <c r="D33" s="15">
        <f>IF(B33&lt;=0,0,B33*Assumptions!$B$6/12)</f>
        <v/>
      </c>
      <c r="E33" s="15">
        <f>IF(B33&lt;=0,0,C33-D33)</f>
        <v/>
      </c>
      <c r="F33" s="15">
        <f>IF(B33&lt;=0,0,B33-E33)</f>
        <v/>
      </c>
      <c r="G33" s="15">
        <f>IF(B33&lt;=0,G32,G32+D33)</f>
        <v/>
      </c>
    </row>
    <row r="34">
      <c r="A34" t="n">
        <v>31</v>
      </c>
      <c r="B34" s="15">
        <f>IF(F33&lt;=0,0,F33)</f>
        <v/>
      </c>
      <c r="C34" s="15">
        <f>IF(B34&lt;=0,0,MIN(Assumptions!$B$14,B34+D34))</f>
        <v/>
      </c>
      <c r="D34" s="15">
        <f>IF(B34&lt;=0,0,B34*Assumptions!$B$6/12)</f>
        <v/>
      </c>
      <c r="E34" s="15">
        <f>IF(B34&lt;=0,0,C34-D34)</f>
        <v/>
      </c>
      <c r="F34" s="15">
        <f>IF(B34&lt;=0,0,B34-E34)</f>
        <v/>
      </c>
      <c r="G34" s="15">
        <f>IF(B34&lt;=0,G33,G33+D34)</f>
        <v/>
      </c>
    </row>
    <row r="35">
      <c r="A35" t="n">
        <v>32</v>
      </c>
      <c r="B35" s="15">
        <f>IF(F34&lt;=0,0,F34)</f>
        <v/>
      </c>
      <c r="C35" s="15">
        <f>IF(B35&lt;=0,0,MIN(Assumptions!$B$14,B35+D35))</f>
        <v/>
      </c>
      <c r="D35" s="15">
        <f>IF(B35&lt;=0,0,B35*Assumptions!$B$6/12)</f>
        <v/>
      </c>
      <c r="E35" s="15">
        <f>IF(B35&lt;=0,0,C35-D35)</f>
        <v/>
      </c>
      <c r="F35" s="15">
        <f>IF(B35&lt;=0,0,B35-E35)</f>
        <v/>
      </c>
      <c r="G35" s="15">
        <f>IF(B35&lt;=0,G34,G34+D35)</f>
        <v/>
      </c>
    </row>
    <row r="36">
      <c r="A36" t="n">
        <v>33</v>
      </c>
      <c r="B36" s="15">
        <f>IF(F35&lt;=0,0,F35)</f>
        <v/>
      </c>
      <c r="C36" s="15">
        <f>IF(B36&lt;=0,0,MIN(Assumptions!$B$14,B36+D36))</f>
        <v/>
      </c>
      <c r="D36" s="15">
        <f>IF(B36&lt;=0,0,B36*Assumptions!$B$6/12)</f>
        <v/>
      </c>
      <c r="E36" s="15">
        <f>IF(B36&lt;=0,0,C36-D36)</f>
        <v/>
      </c>
      <c r="F36" s="15">
        <f>IF(B36&lt;=0,0,B36-E36)</f>
        <v/>
      </c>
      <c r="G36" s="15">
        <f>IF(B36&lt;=0,G35,G35+D36)</f>
        <v/>
      </c>
    </row>
    <row r="37">
      <c r="A37" t="n">
        <v>34</v>
      </c>
      <c r="B37" s="15">
        <f>IF(F36&lt;=0,0,F36)</f>
        <v/>
      </c>
      <c r="C37" s="15">
        <f>IF(B37&lt;=0,0,MIN(Assumptions!$B$14,B37+D37))</f>
        <v/>
      </c>
      <c r="D37" s="15">
        <f>IF(B37&lt;=0,0,B37*Assumptions!$B$6/12)</f>
        <v/>
      </c>
      <c r="E37" s="15">
        <f>IF(B37&lt;=0,0,C37-D37)</f>
        <v/>
      </c>
      <c r="F37" s="15">
        <f>IF(B37&lt;=0,0,B37-E37)</f>
        <v/>
      </c>
      <c r="G37" s="15">
        <f>IF(B37&lt;=0,G36,G36+D37)</f>
        <v/>
      </c>
    </row>
    <row r="38">
      <c r="A38" t="n">
        <v>35</v>
      </c>
      <c r="B38" s="15">
        <f>IF(F37&lt;=0,0,F37)</f>
        <v/>
      </c>
      <c r="C38" s="15">
        <f>IF(B38&lt;=0,0,MIN(Assumptions!$B$14,B38+D38))</f>
        <v/>
      </c>
      <c r="D38" s="15">
        <f>IF(B38&lt;=0,0,B38*Assumptions!$B$6/12)</f>
        <v/>
      </c>
      <c r="E38" s="15">
        <f>IF(B38&lt;=0,0,C38-D38)</f>
        <v/>
      </c>
      <c r="F38" s="15">
        <f>IF(B38&lt;=0,0,B38-E38)</f>
        <v/>
      </c>
      <c r="G38" s="15">
        <f>IF(B38&lt;=0,G37,G37+D38)</f>
        <v/>
      </c>
    </row>
    <row r="39">
      <c r="A39" t="n">
        <v>36</v>
      </c>
      <c r="B39" s="15">
        <f>IF(F38&lt;=0,0,F38)</f>
        <v/>
      </c>
      <c r="C39" s="15">
        <f>IF(B39&lt;=0,0,MIN(Assumptions!$B$14,B39+D39))</f>
        <v/>
      </c>
      <c r="D39" s="15">
        <f>IF(B39&lt;=0,0,B39*Assumptions!$B$6/12)</f>
        <v/>
      </c>
      <c r="E39" s="15">
        <f>IF(B39&lt;=0,0,C39-D39)</f>
        <v/>
      </c>
      <c r="F39" s="15">
        <f>IF(B39&lt;=0,0,B39-E39)</f>
        <v/>
      </c>
      <c r="G39" s="15">
        <f>IF(B39&lt;=0,G38,G38+D39)</f>
        <v/>
      </c>
    </row>
    <row r="40">
      <c r="A40" t="n">
        <v>37</v>
      </c>
      <c r="B40" s="15">
        <f>IF(F39&lt;=0,0,F39)</f>
        <v/>
      </c>
      <c r="C40" s="15">
        <f>IF(B40&lt;=0,0,MIN(Assumptions!$B$14,B40+D40))</f>
        <v/>
      </c>
      <c r="D40" s="15">
        <f>IF(B40&lt;=0,0,B40*Assumptions!$B$6/12)</f>
        <v/>
      </c>
      <c r="E40" s="15">
        <f>IF(B40&lt;=0,0,C40-D40)</f>
        <v/>
      </c>
      <c r="F40" s="15">
        <f>IF(B40&lt;=0,0,B40-E40)</f>
        <v/>
      </c>
      <c r="G40" s="15">
        <f>IF(B40&lt;=0,G39,G39+D40)</f>
        <v/>
      </c>
    </row>
    <row r="41">
      <c r="A41" t="n">
        <v>38</v>
      </c>
      <c r="B41" s="15">
        <f>IF(F40&lt;=0,0,F40)</f>
        <v/>
      </c>
      <c r="C41" s="15">
        <f>IF(B41&lt;=0,0,MIN(Assumptions!$B$14,B41+D41))</f>
        <v/>
      </c>
      <c r="D41" s="15">
        <f>IF(B41&lt;=0,0,B41*Assumptions!$B$6/12)</f>
        <v/>
      </c>
      <c r="E41" s="15">
        <f>IF(B41&lt;=0,0,C41-D41)</f>
        <v/>
      </c>
      <c r="F41" s="15">
        <f>IF(B41&lt;=0,0,B41-E41)</f>
        <v/>
      </c>
      <c r="G41" s="15">
        <f>IF(B41&lt;=0,G40,G40+D41)</f>
        <v/>
      </c>
    </row>
    <row r="42">
      <c r="A42" t="n">
        <v>39</v>
      </c>
      <c r="B42" s="15">
        <f>IF(F41&lt;=0,0,F41)</f>
        <v/>
      </c>
      <c r="C42" s="15">
        <f>IF(B42&lt;=0,0,MIN(Assumptions!$B$14,B42+D42))</f>
        <v/>
      </c>
      <c r="D42" s="15">
        <f>IF(B42&lt;=0,0,B42*Assumptions!$B$6/12)</f>
        <v/>
      </c>
      <c r="E42" s="15">
        <f>IF(B42&lt;=0,0,C42-D42)</f>
        <v/>
      </c>
      <c r="F42" s="15">
        <f>IF(B42&lt;=0,0,B42-E42)</f>
        <v/>
      </c>
      <c r="G42" s="15">
        <f>IF(B42&lt;=0,G41,G41+D42)</f>
        <v/>
      </c>
    </row>
    <row r="43">
      <c r="A43" t="n">
        <v>40</v>
      </c>
      <c r="B43" s="15">
        <f>IF(F42&lt;=0,0,F42)</f>
        <v/>
      </c>
      <c r="C43" s="15">
        <f>IF(B43&lt;=0,0,MIN(Assumptions!$B$14,B43+D43))</f>
        <v/>
      </c>
      <c r="D43" s="15">
        <f>IF(B43&lt;=0,0,B43*Assumptions!$B$6/12)</f>
        <v/>
      </c>
      <c r="E43" s="15">
        <f>IF(B43&lt;=0,0,C43-D43)</f>
        <v/>
      </c>
      <c r="F43" s="15">
        <f>IF(B43&lt;=0,0,B43-E43)</f>
        <v/>
      </c>
      <c r="G43" s="15">
        <f>IF(B43&lt;=0,G42,G42+D43)</f>
        <v/>
      </c>
    </row>
    <row r="44">
      <c r="A44" t="n">
        <v>41</v>
      </c>
      <c r="B44" s="15">
        <f>IF(F43&lt;=0,0,F43)</f>
        <v/>
      </c>
      <c r="C44" s="15">
        <f>IF(B44&lt;=0,0,MIN(Assumptions!$B$14,B44+D44))</f>
        <v/>
      </c>
      <c r="D44" s="15">
        <f>IF(B44&lt;=0,0,B44*Assumptions!$B$6/12)</f>
        <v/>
      </c>
      <c r="E44" s="15">
        <f>IF(B44&lt;=0,0,C44-D44)</f>
        <v/>
      </c>
      <c r="F44" s="15">
        <f>IF(B44&lt;=0,0,B44-E44)</f>
        <v/>
      </c>
      <c r="G44" s="15">
        <f>IF(B44&lt;=0,G43,G43+D44)</f>
        <v/>
      </c>
    </row>
    <row r="45">
      <c r="A45" t="n">
        <v>42</v>
      </c>
      <c r="B45" s="15">
        <f>IF(F44&lt;=0,0,F44)</f>
        <v/>
      </c>
      <c r="C45" s="15">
        <f>IF(B45&lt;=0,0,MIN(Assumptions!$B$14,B45+D45))</f>
        <v/>
      </c>
      <c r="D45" s="15">
        <f>IF(B45&lt;=0,0,B45*Assumptions!$B$6/12)</f>
        <v/>
      </c>
      <c r="E45" s="15">
        <f>IF(B45&lt;=0,0,C45-D45)</f>
        <v/>
      </c>
      <c r="F45" s="15">
        <f>IF(B45&lt;=0,0,B45-E45)</f>
        <v/>
      </c>
      <c r="G45" s="15">
        <f>IF(B45&lt;=0,G44,G44+D45)</f>
        <v/>
      </c>
    </row>
    <row r="46">
      <c r="A46" t="n">
        <v>43</v>
      </c>
      <c r="B46" s="15">
        <f>IF(F45&lt;=0,0,F45)</f>
        <v/>
      </c>
      <c r="C46" s="15">
        <f>IF(B46&lt;=0,0,MIN(Assumptions!$B$14,B46+D46))</f>
        <v/>
      </c>
      <c r="D46" s="15">
        <f>IF(B46&lt;=0,0,B46*Assumptions!$B$6/12)</f>
        <v/>
      </c>
      <c r="E46" s="15">
        <f>IF(B46&lt;=0,0,C46-D46)</f>
        <v/>
      </c>
      <c r="F46" s="15">
        <f>IF(B46&lt;=0,0,B46-E46)</f>
        <v/>
      </c>
      <c r="G46" s="15">
        <f>IF(B46&lt;=0,G45,G45+D46)</f>
        <v/>
      </c>
    </row>
    <row r="47">
      <c r="A47" t="n">
        <v>44</v>
      </c>
      <c r="B47" s="15">
        <f>IF(F46&lt;=0,0,F46)</f>
        <v/>
      </c>
      <c r="C47" s="15">
        <f>IF(B47&lt;=0,0,MIN(Assumptions!$B$14,B47+D47))</f>
        <v/>
      </c>
      <c r="D47" s="15">
        <f>IF(B47&lt;=0,0,B47*Assumptions!$B$6/12)</f>
        <v/>
      </c>
      <c r="E47" s="15">
        <f>IF(B47&lt;=0,0,C47-D47)</f>
        <v/>
      </c>
      <c r="F47" s="15">
        <f>IF(B47&lt;=0,0,B47-E47)</f>
        <v/>
      </c>
      <c r="G47" s="15">
        <f>IF(B47&lt;=0,G46,G46+D47)</f>
        <v/>
      </c>
    </row>
    <row r="48">
      <c r="A48" t="n">
        <v>45</v>
      </c>
      <c r="B48" s="15">
        <f>IF(F47&lt;=0,0,F47)</f>
        <v/>
      </c>
      <c r="C48" s="15">
        <f>IF(B48&lt;=0,0,MIN(Assumptions!$B$14,B48+D48))</f>
        <v/>
      </c>
      <c r="D48" s="15">
        <f>IF(B48&lt;=0,0,B48*Assumptions!$B$6/12)</f>
        <v/>
      </c>
      <c r="E48" s="15">
        <f>IF(B48&lt;=0,0,C48-D48)</f>
        <v/>
      </c>
      <c r="F48" s="15">
        <f>IF(B48&lt;=0,0,B48-E48)</f>
        <v/>
      </c>
      <c r="G48" s="15">
        <f>IF(B48&lt;=0,G47,G47+D48)</f>
        <v/>
      </c>
    </row>
    <row r="49">
      <c r="A49" t="n">
        <v>46</v>
      </c>
      <c r="B49" s="15">
        <f>IF(F48&lt;=0,0,F48)</f>
        <v/>
      </c>
      <c r="C49" s="15">
        <f>IF(B49&lt;=0,0,MIN(Assumptions!$B$14,B49+D49))</f>
        <v/>
      </c>
      <c r="D49" s="15">
        <f>IF(B49&lt;=0,0,B49*Assumptions!$B$6/12)</f>
        <v/>
      </c>
      <c r="E49" s="15">
        <f>IF(B49&lt;=0,0,C49-D49)</f>
        <v/>
      </c>
      <c r="F49" s="15">
        <f>IF(B49&lt;=0,0,B49-E49)</f>
        <v/>
      </c>
      <c r="G49" s="15">
        <f>IF(B49&lt;=0,G48,G48+D49)</f>
        <v/>
      </c>
    </row>
    <row r="50">
      <c r="A50" t="n">
        <v>47</v>
      </c>
      <c r="B50" s="15">
        <f>IF(F49&lt;=0,0,F49)</f>
        <v/>
      </c>
      <c r="C50" s="15">
        <f>IF(B50&lt;=0,0,MIN(Assumptions!$B$14,B50+D50))</f>
        <v/>
      </c>
      <c r="D50" s="15">
        <f>IF(B50&lt;=0,0,B50*Assumptions!$B$6/12)</f>
        <v/>
      </c>
      <c r="E50" s="15">
        <f>IF(B50&lt;=0,0,C50-D50)</f>
        <v/>
      </c>
      <c r="F50" s="15">
        <f>IF(B50&lt;=0,0,B50-E50)</f>
        <v/>
      </c>
      <c r="G50" s="15">
        <f>IF(B50&lt;=0,G49,G49+D50)</f>
        <v/>
      </c>
    </row>
    <row r="51">
      <c r="A51" t="n">
        <v>48</v>
      </c>
      <c r="B51" s="15">
        <f>IF(F50&lt;=0,0,F50)</f>
        <v/>
      </c>
      <c r="C51" s="15">
        <f>IF(B51&lt;=0,0,MIN(Assumptions!$B$14,B51+D51))</f>
        <v/>
      </c>
      <c r="D51" s="15">
        <f>IF(B51&lt;=0,0,B51*Assumptions!$B$6/12)</f>
        <v/>
      </c>
      <c r="E51" s="15">
        <f>IF(B51&lt;=0,0,C51-D51)</f>
        <v/>
      </c>
      <c r="F51" s="15">
        <f>IF(B51&lt;=0,0,B51-E51)</f>
        <v/>
      </c>
      <c r="G51" s="15">
        <f>IF(B51&lt;=0,G50,G50+D51)</f>
        <v/>
      </c>
    </row>
    <row r="52">
      <c r="A52" t="n">
        <v>49</v>
      </c>
      <c r="B52" s="15">
        <f>IF(F51&lt;=0,0,F51)</f>
        <v/>
      </c>
      <c r="C52" s="15">
        <f>IF(B52&lt;=0,0,MIN(Assumptions!$B$14,B52+D52))</f>
        <v/>
      </c>
      <c r="D52" s="15">
        <f>IF(B52&lt;=0,0,B52*Assumptions!$B$6/12)</f>
        <v/>
      </c>
      <c r="E52" s="15">
        <f>IF(B52&lt;=0,0,C52-D52)</f>
        <v/>
      </c>
      <c r="F52" s="15">
        <f>IF(B52&lt;=0,0,B52-E52)</f>
        <v/>
      </c>
      <c r="G52" s="15">
        <f>IF(B52&lt;=0,G51,G51+D52)</f>
        <v/>
      </c>
    </row>
    <row r="53">
      <c r="A53" t="n">
        <v>50</v>
      </c>
      <c r="B53" s="15">
        <f>IF(F52&lt;=0,0,F52)</f>
        <v/>
      </c>
      <c r="C53" s="15">
        <f>IF(B53&lt;=0,0,MIN(Assumptions!$B$14,B53+D53))</f>
        <v/>
      </c>
      <c r="D53" s="15">
        <f>IF(B53&lt;=0,0,B53*Assumptions!$B$6/12)</f>
        <v/>
      </c>
      <c r="E53" s="15">
        <f>IF(B53&lt;=0,0,C53-D53)</f>
        <v/>
      </c>
      <c r="F53" s="15">
        <f>IF(B53&lt;=0,0,B53-E53)</f>
        <v/>
      </c>
      <c r="G53" s="15">
        <f>IF(B53&lt;=0,G52,G52+D53)</f>
        <v/>
      </c>
    </row>
    <row r="54">
      <c r="A54" t="n">
        <v>51</v>
      </c>
      <c r="B54" s="15">
        <f>IF(F53&lt;=0,0,F53)</f>
        <v/>
      </c>
      <c r="C54" s="15">
        <f>IF(B54&lt;=0,0,MIN(Assumptions!$B$14,B54+D54))</f>
        <v/>
      </c>
      <c r="D54" s="15">
        <f>IF(B54&lt;=0,0,B54*Assumptions!$B$6/12)</f>
        <v/>
      </c>
      <c r="E54" s="15">
        <f>IF(B54&lt;=0,0,C54-D54)</f>
        <v/>
      </c>
      <c r="F54" s="15">
        <f>IF(B54&lt;=0,0,B54-E54)</f>
        <v/>
      </c>
      <c r="G54" s="15">
        <f>IF(B54&lt;=0,G53,G53+D54)</f>
        <v/>
      </c>
    </row>
    <row r="55">
      <c r="A55" t="n">
        <v>52</v>
      </c>
      <c r="B55" s="15">
        <f>IF(F54&lt;=0,0,F54)</f>
        <v/>
      </c>
      <c r="C55" s="15">
        <f>IF(B55&lt;=0,0,MIN(Assumptions!$B$14,B55+D55))</f>
        <v/>
      </c>
      <c r="D55" s="15">
        <f>IF(B55&lt;=0,0,B55*Assumptions!$B$6/12)</f>
        <v/>
      </c>
      <c r="E55" s="15">
        <f>IF(B55&lt;=0,0,C55-D55)</f>
        <v/>
      </c>
      <c r="F55" s="15">
        <f>IF(B55&lt;=0,0,B55-E55)</f>
        <v/>
      </c>
      <c r="G55" s="15">
        <f>IF(B55&lt;=0,G54,G54+D55)</f>
        <v/>
      </c>
    </row>
    <row r="56">
      <c r="A56" t="n">
        <v>53</v>
      </c>
      <c r="B56" s="15">
        <f>IF(F55&lt;=0,0,F55)</f>
        <v/>
      </c>
      <c r="C56" s="15">
        <f>IF(B56&lt;=0,0,MIN(Assumptions!$B$14,B56+D56))</f>
        <v/>
      </c>
      <c r="D56" s="15">
        <f>IF(B56&lt;=0,0,B56*Assumptions!$B$6/12)</f>
        <v/>
      </c>
      <c r="E56" s="15">
        <f>IF(B56&lt;=0,0,C56-D56)</f>
        <v/>
      </c>
      <c r="F56" s="15">
        <f>IF(B56&lt;=0,0,B56-E56)</f>
        <v/>
      </c>
      <c r="G56" s="15">
        <f>IF(B56&lt;=0,G55,G55+D56)</f>
        <v/>
      </c>
    </row>
    <row r="57">
      <c r="A57" t="n">
        <v>54</v>
      </c>
      <c r="B57" s="15">
        <f>IF(F56&lt;=0,0,F56)</f>
        <v/>
      </c>
      <c r="C57" s="15">
        <f>IF(B57&lt;=0,0,MIN(Assumptions!$B$14,B57+D57))</f>
        <v/>
      </c>
      <c r="D57" s="15">
        <f>IF(B57&lt;=0,0,B57*Assumptions!$B$6/12)</f>
        <v/>
      </c>
      <c r="E57" s="15">
        <f>IF(B57&lt;=0,0,C57-D57)</f>
        <v/>
      </c>
      <c r="F57" s="15">
        <f>IF(B57&lt;=0,0,B57-E57)</f>
        <v/>
      </c>
      <c r="G57" s="15">
        <f>IF(B57&lt;=0,G56,G56+D57)</f>
        <v/>
      </c>
    </row>
    <row r="58">
      <c r="A58" t="n">
        <v>55</v>
      </c>
      <c r="B58" s="15">
        <f>IF(F57&lt;=0,0,F57)</f>
        <v/>
      </c>
      <c r="C58" s="15">
        <f>IF(B58&lt;=0,0,MIN(Assumptions!$B$14,B58+D58))</f>
        <v/>
      </c>
      <c r="D58" s="15">
        <f>IF(B58&lt;=0,0,B58*Assumptions!$B$6/12)</f>
        <v/>
      </c>
      <c r="E58" s="15">
        <f>IF(B58&lt;=0,0,C58-D58)</f>
        <v/>
      </c>
      <c r="F58" s="15">
        <f>IF(B58&lt;=0,0,B58-E58)</f>
        <v/>
      </c>
      <c r="G58" s="15">
        <f>IF(B58&lt;=0,G57,G57+D58)</f>
        <v/>
      </c>
    </row>
    <row r="59">
      <c r="A59" t="n">
        <v>56</v>
      </c>
      <c r="B59" s="15">
        <f>IF(F58&lt;=0,0,F58)</f>
        <v/>
      </c>
      <c r="C59" s="15">
        <f>IF(B59&lt;=0,0,MIN(Assumptions!$B$14,B59+D59))</f>
        <v/>
      </c>
      <c r="D59" s="15">
        <f>IF(B59&lt;=0,0,B59*Assumptions!$B$6/12)</f>
        <v/>
      </c>
      <c r="E59" s="15">
        <f>IF(B59&lt;=0,0,C59-D59)</f>
        <v/>
      </c>
      <c r="F59" s="15">
        <f>IF(B59&lt;=0,0,B59-E59)</f>
        <v/>
      </c>
      <c r="G59" s="15">
        <f>IF(B59&lt;=0,G58,G58+D59)</f>
        <v/>
      </c>
    </row>
    <row r="60">
      <c r="A60" t="n">
        <v>57</v>
      </c>
      <c r="B60" s="15">
        <f>IF(F59&lt;=0,0,F59)</f>
        <v/>
      </c>
      <c r="C60" s="15">
        <f>IF(B60&lt;=0,0,MIN(Assumptions!$B$14,B60+D60))</f>
        <v/>
      </c>
      <c r="D60" s="15">
        <f>IF(B60&lt;=0,0,B60*Assumptions!$B$6/12)</f>
        <v/>
      </c>
      <c r="E60" s="15">
        <f>IF(B60&lt;=0,0,C60-D60)</f>
        <v/>
      </c>
      <c r="F60" s="15">
        <f>IF(B60&lt;=0,0,B60-E60)</f>
        <v/>
      </c>
      <c r="G60" s="15">
        <f>IF(B60&lt;=0,G59,G59+D60)</f>
        <v/>
      </c>
    </row>
    <row r="61">
      <c r="A61" t="n">
        <v>58</v>
      </c>
      <c r="B61" s="15">
        <f>IF(F60&lt;=0,0,F60)</f>
        <v/>
      </c>
      <c r="C61" s="15">
        <f>IF(B61&lt;=0,0,MIN(Assumptions!$B$14,B61+D61))</f>
        <v/>
      </c>
      <c r="D61" s="15">
        <f>IF(B61&lt;=0,0,B61*Assumptions!$B$6/12)</f>
        <v/>
      </c>
      <c r="E61" s="15">
        <f>IF(B61&lt;=0,0,C61-D61)</f>
        <v/>
      </c>
      <c r="F61" s="15">
        <f>IF(B61&lt;=0,0,B61-E61)</f>
        <v/>
      </c>
      <c r="G61" s="15">
        <f>IF(B61&lt;=0,G60,G60+D61)</f>
        <v/>
      </c>
    </row>
    <row r="62">
      <c r="A62" t="n">
        <v>59</v>
      </c>
      <c r="B62" s="15">
        <f>IF(F61&lt;=0,0,F61)</f>
        <v/>
      </c>
      <c r="C62" s="15">
        <f>IF(B62&lt;=0,0,MIN(Assumptions!$B$14,B62+D62))</f>
        <v/>
      </c>
      <c r="D62" s="15">
        <f>IF(B62&lt;=0,0,B62*Assumptions!$B$6/12)</f>
        <v/>
      </c>
      <c r="E62" s="15">
        <f>IF(B62&lt;=0,0,C62-D62)</f>
        <v/>
      </c>
      <c r="F62" s="15">
        <f>IF(B62&lt;=0,0,B62-E62)</f>
        <v/>
      </c>
      <c r="G62" s="15">
        <f>IF(B62&lt;=0,G61,G61+D62)</f>
        <v/>
      </c>
    </row>
    <row r="63">
      <c r="A63" t="n">
        <v>60</v>
      </c>
      <c r="B63" s="15">
        <f>IF(F62&lt;=0,0,F62)</f>
        <v/>
      </c>
      <c r="C63" s="15">
        <f>IF(B63&lt;=0,0,MIN(Assumptions!$B$14,B63+D63))</f>
        <v/>
      </c>
      <c r="D63" s="15">
        <f>IF(B63&lt;=0,0,B63*Assumptions!$B$6/12)</f>
        <v/>
      </c>
      <c r="E63" s="15">
        <f>IF(B63&lt;=0,0,C63-D63)</f>
        <v/>
      </c>
      <c r="F63" s="15">
        <f>IF(B63&lt;=0,0,B63-E63)</f>
        <v/>
      </c>
      <c r="G63" s="15">
        <f>IF(B63&lt;=0,G62,G62+D63)</f>
        <v/>
      </c>
    </row>
    <row r="64">
      <c r="A64" t="n">
        <v>61</v>
      </c>
      <c r="B64" s="15">
        <f>IF(F63&lt;=0,0,F63)</f>
        <v/>
      </c>
      <c r="C64" s="15">
        <f>IF(B64&lt;=0,0,MIN(Assumptions!$B$14,B64+D64))</f>
        <v/>
      </c>
      <c r="D64" s="15">
        <f>IF(B64&lt;=0,0,B64*Assumptions!$B$6/12)</f>
        <v/>
      </c>
      <c r="E64" s="15">
        <f>IF(B64&lt;=0,0,C64-D64)</f>
        <v/>
      </c>
      <c r="F64" s="15">
        <f>IF(B64&lt;=0,0,B64-E64)</f>
        <v/>
      </c>
      <c r="G64" s="15">
        <f>IF(B64&lt;=0,G63,G63+D64)</f>
        <v/>
      </c>
    </row>
    <row r="65">
      <c r="A65" t="n">
        <v>62</v>
      </c>
      <c r="B65" s="15">
        <f>IF(F64&lt;=0,0,F64)</f>
        <v/>
      </c>
      <c r="C65" s="15">
        <f>IF(B65&lt;=0,0,MIN(Assumptions!$B$14,B65+D65))</f>
        <v/>
      </c>
      <c r="D65" s="15">
        <f>IF(B65&lt;=0,0,B65*Assumptions!$B$6/12)</f>
        <v/>
      </c>
      <c r="E65" s="15">
        <f>IF(B65&lt;=0,0,C65-D65)</f>
        <v/>
      </c>
      <c r="F65" s="15">
        <f>IF(B65&lt;=0,0,B65-E65)</f>
        <v/>
      </c>
      <c r="G65" s="15">
        <f>IF(B65&lt;=0,G64,G64+D65)</f>
        <v/>
      </c>
    </row>
    <row r="66">
      <c r="A66" t="n">
        <v>63</v>
      </c>
      <c r="B66" s="15">
        <f>IF(F65&lt;=0,0,F65)</f>
        <v/>
      </c>
      <c r="C66" s="15">
        <f>IF(B66&lt;=0,0,MIN(Assumptions!$B$14,B66+D66))</f>
        <v/>
      </c>
      <c r="D66" s="15">
        <f>IF(B66&lt;=0,0,B66*Assumptions!$B$6/12)</f>
        <v/>
      </c>
      <c r="E66" s="15">
        <f>IF(B66&lt;=0,0,C66-D66)</f>
        <v/>
      </c>
      <c r="F66" s="15">
        <f>IF(B66&lt;=0,0,B66-E66)</f>
        <v/>
      </c>
      <c r="G66" s="15">
        <f>IF(B66&lt;=0,G65,G65+D66)</f>
        <v/>
      </c>
    </row>
    <row r="67">
      <c r="A67" t="n">
        <v>64</v>
      </c>
      <c r="B67" s="15">
        <f>IF(F66&lt;=0,0,F66)</f>
        <v/>
      </c>
      <c r="C67" s="15">
        <f>IF(B67&lt;=0,0,MIN(Assumptions!$B$14,B67+D67))</f>
        <v/>
      </c>
      <c r="D67" s="15">
        <f>IF(B67&lt;=0,0,B67*Assumptions!$B$6/12)</f>
        <v/>
      </c>
      <c r="E67" s="15">
        <f>IF(B67&lt;=0,0,C67-D67)</f>
        <v/>
      </c>
      <c r="F67" s="15">
        <f>IF(B67&lt;=0,0,B67-E67)</f>
        <v/>
      </c>
      <c r="G67" s="15">
        <f>IF(B67&lt;=0,G66,G66+D67)</f>
        <v/>
      </c>
    </row>
    <row r="68">
      <c r="A68" t="n">
        <v>65</v>
      </c>
      <c r="B68" s="15">
        <f>IF(F67&lt;=0,0,F67)</f>
        <v/>
      </c>
      <c r="C68" s="15">
        <f>IF(B68&lt;=0,0,MIN(Assumptions!$B$14,B68+D68))</f>
        <v/>
      </c>
      <c r="D68" s="15">
        <f>IF(B68&lt;=0,0,B68*Assumptions!$B$6/12)</f>
        <v/>
      </c>
      <c r="E68" s="15">
        <f>IF(B68&lt;=0,0,C68-D68)</f>
        <v/>
      </c>
      <c r="F68" s="15">
        <f>IF(B68&lt;=0,0,B68-E68)</f>
        <v/>
      </c>
      <c r="G68" s="15">
        <f>IF(B68&lt;=0,G67,G67+D68)</f>
        <v/>
      </c>
    </row>
    <row r="69">
      <c r="A69" t="n">
        <v>66</v>
      </c>
      <c r="B69" s="15">
        <f>IF(F68&lt;=0,0,F68)</f>
        <v/>
      </c>
      <c r="C69" s="15">
        <f>IF(B69&lt;=0,0,MIN(Assumptions!$B$14,B69+D69))</f>
        <v/>
      </c>
      <c r="D69" s="15">
        <f>IF(B69&lt;=0,0,B69*Assumptions!$B$6/12)</f>
        <v/>
      </c>
      <c r="E69" s="15">
        <f>IF(B69&lt;=0,0,C69-D69)</f>
        <v/>
      </c>
      <c r="F69" s="15">
        <f>IF(B69&lt;=0,0,B69-E69)</f>
        <v/>
      </c>
      <c r="G69" s="15">
        <f>IF(B69&lt;=0,G68,G68+D69)</f>
        <v/>
      </c>
    </row>
    <row r="70">
      <c r="A70" t="n">
        <v>67</v>
      </c>
      <c r="B70" s="15">
        <f>IF(F69&lt;=0,0,F69)</f>
        <v/>
      </c>
      <c r="C70" s="15">
        <f>IF(B70&lt;=0,0,MIN(Assumptions!$B$14,B70+D70))</f>
        <v/>
      </c>
      <c r="D70" s="15">
        <f>IF(B70&lt;=0,0,B70*Assumptions!$B$6/12)</f>
        <v/>
      </c>
      <c r="E70" s="15">
        <f>IF(B70&lt;=0,0,C70-D70)</f>
        <v/>
      </c>
      <c r="F70" s="15">
        <f>IF(B70&lt;=0,0,B70-E70)</f>
        <v/>
      </c>
      <c r="G70" s="15">
        <f>IF(B70&lt;=0,G69,G69+D70)</f>
        <v/>
      </c>
    </row>
    <row r="71">
      <c r="A71" t="n">
        <v>68</v>
      </c>
      <c r="B71" s="15">
        <f>IF(F70&lt;=0,0,F70)</f>
        <v/>
      </c>
      <c r="C71" s="15">
        <f>IF(B71&lt;=0,0,MIN(Assumptions!$B$14,B71+D71))</f>
        <v/>
      </c>
      <c r="D71" s="15">
        <f>IF(B71&lt;=0,0,B71*Assumptions!$B$6/12)</f>
        <v/>
      </c>
      <c r="E71" s="15">
        <f>IF(B71&lt;=0,0,C71-D71)</f>
        <v/>
      </c>
      <c r="F71" s="15">
        <f>IF(B71&lt;=0,0,B71-E71)</f>
        <v/>
      </c>
      <c r="G71" s="15">
        <f>IF(B71&lt;=0,G70,G70+D71)</f>
        <v/>
      </c>
    </row>
    <row r="72">
      <c r="A72" t="n">
        <v>69</v>
      </c>
      <c r="B72" s="15">
        <f>IF(F71&lt;=0,0,F71)</f>
        <v/>
      </c>
      <c r="C72" s="15">
        <f>IF(B72&lt;=0,0,MIN(Assumptions!$B$14,B72+D72))</f>
        <v/>
      </c>
      <c r="D72" s="15">
        <f>IF(B72&lt;=0,0,B72*Assumptions!$B$6/12)</f>
        <v/>
      </c>
      <c r="E72" s="15">
        <f>IF(B72&lt;=0,0,C72-D72)</f>
        <v/>
      </c>
      <c r="F72" s="15">
        <f>IF(B72&lt;=0,0,B72-E72)</f>
        <v/>
      </c>
      <c r="G72" s="15">
        <f>IF(B72&lt;=0,G71,G71+D72)</f>
        <v/>
      </c>
    </row>
    <row r="73">
      <c r="A73" t="n">
        <v>70</v>
      </c>
      <c r="B73" s="15">
        <f>IF(F72&lt;=0,0,F72)</f>
        <v/>
      </c>
      <c r="C73" s="15">
        <f>IF(B73&lt;=0,0,MIN(Assumptions!$B$14,B73+D73))</f>
        <v/>
      </c>
      <c r="D73" s="15">
        <f>IF(B73&lt;=0,0,B73*Assumptions!$B$6/12)</f>
        <v/>
      </c>
      <c r="E73" s="15">
        <f>IF(B73&lt;=0,0,C73-D73)</f>
        <v/>
      </c>
      <c r="F73" s="15">
        <f>IF(B73&lt;=0,0,B73-E73)</f>
        <v/>
      </c>
      <c r="G73" s="15">
        <f>IF(B73&lt;=0,G72,G72+D73)</f>
        <v/>
      </c>
    </row>
    <row r="74">
      <c r="A74" t="n">
        <v>71</v>
      </c>
      <c r="B74" s="15">
        <f>IF(F73&lt;=0,0,F73)</f>
        <v/>
      </c>
      <c r="C74" s="15">
        <f>IF(B74&lt;=0,0,MIN(Assumptions!$B$14,B74+D74))</f>
        <v/>
      </c>
      <c r="D74" s="15">
        <f>IF(B74&lt;=0,0,B74*Assumptions!$B$6/12)</f>
        <v/>
      </c>
      <c r="E74" s="15">
        <f>IF(B74&lt;=0,0,C74-D74)</f>
        <v/>
      </c>
      <c r="F74" s="15">
        <f>IF(B74&lt;=0,0,B74-E74)</f>
        <v/>
      </c>
      <c r="G74" s="15">
        <f>IF(B74&lt;=0,G73,G73+D74)</f>
        <v/>
      </c>
    </row>
    <row r="75">
      <c r="A75" t="n">
        <v>72</v>
      </c>
      <c r="B75" s="15">
        <f>IF(F74&lt;=0,0,F74)</f>
        <v/>
      </c>
      <c r="C75" s="15">
        <f>IF(B75&lt;=0,0,MIN(Assumptions!$B$14,B75+D75))</f>
        <v/>
      </c>
      <c r="D75" s="15">
        <f>IF(B75&lt;=0,0,B75*Assumptions!$B$6/12)</f>
        <v/>
      </c>
      <c r="E75" s="15">
        <f>IF(B75&lt;=0,0,C75-D75)</f>
        <v/>
      </c>
      <c r="F75" s="15">
        <f>IF(B75&lt;=0,0,B75-E75)</f>
        <v/>
      </c>
      <c r="G75" s="15">
        <f>IF(B75&lt;=0,G74,G74+D75)</f>
        <v/>
      </c>
    </row>
    <row r="76">
      <c r="A76" t="n">
        <v>73</v>
      </c>
      <c r="B76" s="15">
        <f>IF(F75&lt;=0,0,F75)</f>
        <v/>
      </c>
      <c r="C76" s="15">
        <f>IF(B76&lt;=0,0,MIN(Assumptions!$B$14,B76+D76))</f>
        <v/>
      </c>
      <c r="D76" s="15">
        <f>IF(B76&lt;=0,0,B76*Assumptions!$B$6/12)</f>
        <v/>
      </c>
      <c r="E76" s="15">
        <f>IF(B76&lt;=0,0,C76-D76)</f>
        <v/>
      </c>
      <c r="F76" s="15">
        <f>IF(B76&lt;=0,0,B76-E76)</f>
        <v/>
      </c>
      <c r="G76" s="15">
        <f>IF(B76&lt;=0,G75,G75+D76)</f>
        <v/>
      </c>
    </row>
    <row r="77">
      <c r="A77" t="n">
        <v>74</v>
      </c>
      <c r="B77" s="15">
        <f>IF(F76&lt;=0,0,F76)</f>
        <v/>
      </c>
      <c r="C77" s="15">
        <f>IF(B77&lt;=0,0,MIN(Assumptions!$B$14,B77+D77))</f>
        <v/>
      </c>
      <c r="D77" s="15">
        <f>IF(B77&lt;=0,0,B77*Assumptions!$B$6/12)</f>
        <v/>
      </c>
      <c r="E77" s="15">
        <f>IF(B77&lt;=0,0,C77-D77)</f>
        <v/>
      </c>
      <c r="F77" s="15">
        <f>IF(B77&lt;=0,0,B77-E77)</f>
        <v/>
      </c>
      <c r="G77" s="15">
        <f>IF(B77&lt;=0,G76,G76+D77)</f>
        <v/>
      </c>
    </row>
    <row r="78">
      <c r="A78" t="n">
        <v>75</v>
      </c>
      <c r="B78" s="15">
        <f>IF(F77&lt;=0,0,F77)</f>
        <v/>
      </c>
      <c r="C78" s="15">
        <f>IF(B78&lt;=0,0,MIN(Assumptions!$B$14,B78+D78))</f>
        <v/>
      </c>
      <c r="D78" s="15">
        <f>IF(B78&lt;=0,0,B78*Assumptions!$B$6/12)</f>
        <v/>
      </c>
      <c r="E78" s="15">
        <f>IF(B78&lt;=0,0,C78-D78)</f>
        <v/>
      </c>
      <c r="F78" s="15">
        <f>IF(B78&lt;=0,0,B78-E78)</f>
        <v/>
      </c>
      <c r="G78" s="15">
        <f>IF(B78&lt;=0,G77,G77+D78)</f>
        <v/>
      </c>
    </row>
    <row r="79">
      <c r="A79" t="n">
        <v>76</v>
      </c>
      <c r="B79" s="15">
        <f>IF(F78&lt;=0,0,F78)</f>
        <v/>
      </c>
      <c r="C79" s="15">
        <f>IF(B79&lt;=0,0,MIN(Assumptions!$B$14,B79+D79))</f>
        <v/>
      </c>
      <c r="D79" s="15">
        <f>IF(B79&lt;=0,0,B79*Assumptions!$B$6/12)</f>
        <v/>
      </c>
      <c r="E79" s="15">
        <f>IF(B79&lt;=0,0,C79-D79)</f>
        <v/>
      </c>
      <c r="F79" s="15">
        <f>IF(B79&lt;=0,0,B79-E79)</f>
        <v/>
      </c>
      <c r="G79" s="15">
        <f>IF(B79&lt;=0,G78,G78+D79)</f>
        <v/>
      </c>
    </row>
    <row r="80">
      <c r="A80" t="n">
        <v>77</v>
      </c>
      <c r="B80" s="15">
        <f>IF(F79&lt;=0,0,F79)</f>
        <v/>
      </c>
      <c r="C80" s="15">
        <f>IF(B80&lt;=0,0,MIN(Assumptions!$B$14,B80+D80))</f>
        <v/>
      </c>
      <c r="D80" s="15">
        <f>IF(B80&lt;=0,0,B80*Assumptions!$B$6/12)</f>
        <v/>
      </c>
      <c r="E80" s="15">
        <f>IF(B80&lt;=0,0,C80-D80)</f>
        <v/>
      </c>
      <c r="F80" s="15">
        <f>IF(B80&lt;=0,0,B80-E80)</f>
        <v/>
      </c>
      <c r="G80" s="15">
        <f>IF(B80&lt;=0,G79,G79+D80)</f>
        <v/>
      </c>
    </row>
    <row r="81">
      <c r="A81" t="n">
        <v>78</v>
      </c>
      <c r="B81" s="15">
        <f>IF(F80&lt;=0,0,F80)</f>
        <v/>
      </c>
      <c r="C81" s="15">
        <f>IF(B81&lt;=0,0,MIN(Assumptions!$B$14,B81+D81))</f>
        <v/>
      </c>
      <c r="D81" s="15">
        <f>IF(B81&lt;=0,0,B81*Assumptions!$B$6/12)</f>
        <v/>
      </c>
      <c r="E81" s="15">
        <f>IF(B81&lt;=0,0,C81-D81)</f>
        <v/>
      </c>
      <c r="F81" s="15">
        <f>IF(B81&lt;=0,0,B81-E81)</f>
        <v/>
      </c>
      <c r="G81" s="15">
        <f>IF(B81&lt;=0,G80,G80+D81)</f>
        <v/>
      </c>
    </row>
    <row r="82">
      <c r="A82" t="n">
        <v>79</v>
      </c>
      <c r="B82" s="15">
        <f>IF(F81&lt;=0,0,F81)</f>
        <v/>
      </c>
      <c r="C82" s="15">
        <f>IF(B82&lt;=0,0,MIN(Assumptions!$B$14,B82+D82))</f>
        <v/>
      </c>
      <c r="D82" s="15">
        <f>IF(B82&lt;=0,0,B82*Assumptions!$B$6/12)</f>
        <v/>
      </c>
      <c r="E82" s="15">
        <f>IF(B82&lt;=0,0,C82-D82)</f>
        <v/>
      </c>
      <c r="F82" s="15">
        <f>IF(B82&lt;=0,0,B82-E82)</f>
        <v/>
      </c>
      <c r="G82" s="15">
        <f>IF(B82&lt;=0,G81,G81+D82)</f>
        <v/>
      </c>
    </row>
    <row r="83">
      <c r="A83" t="n">
        <v>80</v>
      </c>
      <c r="B83" s="15">
        <f>IF(F82&lt;=0,0,F82)</f>
        <v/>
      </c>
      <c r="C83" s="15">
        <f>IF(B83&lt;=0,0,MIN(Assumptions!$B$14,B83+D83))</f>
        <v/>
      </c>
      <c r="D83" s="15">
        <f>IF(B83&lt;=0,0,B83*Assumptions!$B$6/12)</f>
        <v/>
      </c>
      <c r="E83" s="15">
        <f>IF(B83&lt;=0,0,C83-D83)</f>
        <v/>
      </c>
      <c r="F83" s="15">
        <f>IF(B83&lt;=0,0,B83-E83)</f>
        <v/>
      </c>
      <c r="G83" s="15">
        <f>IF(B83&lt;=0,G82,G82+D83)</f>
        <v/>
      </c>
    </row>
    <row r="84">
      <c r="A84" t="n">
        <v>81</v>
      </c>
      <c r="B84" s="15">
        <f>IF(F83&lt;=0,0,F83)</f>
        <v/>
      </c>
      <c r="C84" s="15">
        <f>IF(B84&lt;=0,0,MIN(Assumptions!$B$14,B84+D84))</f>
        <v/>
      </c>
      <c r="D84" s="15">
        <f>IF(B84&lt;=0,0,B84*Assumptions!$B$6/12)</f>
        <v/>
      </c>
      <c r="E84" s="15">
        <f>IF(B84&lt;=0,0,C84-D84)</f>
        <v/>
      </c>
      <c r="F84" s="15">
        <f>IF(B84&lt;=0,0,B84-E84)</f>
        <v/>
      </c>
      <c r="G84" s="15">
        <f>IF(B84&lt;=0,G83,G83+D84)</f>
        <v/>
      </c>
    </row>
    <row r="85">
      <c r="A85" t="n">
        <v>82</v>
      </c>
      <c r="B85" s="15">
        <f>IF(F84&lt;=0,0,F84)</f>
        <v/>
      </c>
      <c r="C85" s="15">
        <f>IF(B85&lt;=0,0,MIN(Assumptions!$B$14,B85+D85))</f>
        <v/>
      </c>
      <c r="D85" s="15">
        <f>IF(B85&lt;=0,0,B85*Assumptions!$B$6/12)</f>
        <v/>
      </c>
      <c r="E85" s="15">
        <f>IF(B85&lt;=0,0,C85-D85)</f>
        <v/>
      </c>
      <c r="F85" s="15">
        <f>IF(B85&lt;=0,0,B85-E85)</f>
        <v/>
      </c>
      <c r="G85" s="15">
        <f>IF(B85&lt;=0,G84,G84+D85)</f>
        <v/>
      </c>
    </row>
    <row r="86">
      <c r="A86" t="n">
        <v>83</v>
      </c>
      <c r="B86" s="15">
        <f>IF(F85&lt;=0,0,F85)</f>
        <v/>
      </c>
      <c r="C86" s="15">
        <f>IF(B86&lt;=0,0,MIN(Assumptions!$B$14,B86+D86))</f>
        <v/>
      </c>
      <c r="D86" s="15">
        <f>IF(B86&lt;=0,0,B86*Assumptions!$B$6/12)</f>
        <v/>
      </c>
      <c r="E86" s="15">
        <f>IF(B86&lt;=0,0,C86-D86)</f>
        <v/>
      </c>
      <c r="F86" s="15">
        <f>IF(B86&lt;=0,0,B86-E86)</f>
        <v/>
      </c>
      <c r="G86" s="15">
        <f>IF(B86&lt;=0,G85,G85+D86)</f>
        <v/>
      </c>
    </row>
    <row r="87">
      <c r="A87" t="n">
        <v>84</v>
      </c>
      <c r="B87" s="15">
        <f>IF(F86&lt;=0,0,F86)</f>
        <v/>
      </c>
      <c r="C87" s="15">
        <f>IF(B87&lt;=0,0,MIN(Assumptions!$B$14,B87+D87))</f>
        <v/>
      </c>
      <c r="D87" s="15">
        <f>IF(B87&lt;=0,0,B87*Assumptions!$B$6/12)</f>
        <v/>
      </c>
      <c r="E87" s="15">
        <f>IF(B87&lt;=0,0,C87-D87)</f>
        <v/>
      </c>
      <c r="F87" s="15">
        <f>IF(B87&lt;=0,0,B87-E87)</f>
        <v/>
      </c>
      <c r="G87" s="15">
        <f>IF(B87&lt;=0,G86,G86+D87)</f>
        <v/>
      </c>
    </row>
    <row r="88">
      <c r="A88" t="n">
        <v>85</v>
      </c>
      <c r="B88" s="15">
        <f>IF(F87&lt;=0,0,F87)</f>
        <v/>
      </c>
      <c r="C88" s="15">
        <f>IF(B88&lt;=0,0,MIN(Assumptions!$B$14,B88+D88))</f>
        <v/>
      </c>
      <c r="D88" s="15">
        <f>IF(B88&lt;=0,0,B88*Assumptions!$B$6/12)</f>
        <v/>
      </c>
      <c r="E88" s="15">
        <f>IF(B88&lt;=0,0,C88-D88)</f>
        <v/>
      </c>
      <c r="F88" s="15">
        <f>IF(B88&lt;=0,0,B88-E88)</f>
        <v/>
      </c>
      <c r="G88" s="15">
        <f>IF(B88&lt;=0,G87,G87+D88)</f>
        <v/>
      </c>
    </row>
    <row r="89">
      <c r="A89" t="n">
        <v>86</v>
      </c>
      <c r="B89" s="15">
        <f>IF(F88&lt;=0,0,F88)</f>
        <v/>
      </c>
      <c r="C89" s="15">
        <f>IF(B89&lt;=0,0,MIN(Assumptions!$B$14,B89+D89))</f>
        <v/>
      </c>
      <c r="D89" s="15">
        <f>IF(B89&lt;=0,0,B89*Assumptions!$B$6/12)</f>
        <v/>
      </c>
      <c r="E89" s="15">
        <f>IF(B89&lt;=0,0,C89-D89)</f>
        <v/>
      </c>
      <c r="F89" s="15">
        <f>IF(B89&lt;=0,0,B89-E89)</f>
        <v/>
      </c>
      <c r="G89" s="15">
        <f>IF(B89&lt;=0,G88,G88+D89)</f>
        <v/>
      </c>
    </row>
    <row r="90">
      <c r="A90" t="n">
        <v>87</v>
      </c>
      <c r="B90" s="15">
        <f>IF(F89&lt;=0,0,F89)</f>
        <v/>
      </c>
      <c r="C90" s="15">
        <f>IF(B90&lt;=0,0,MIN(Assumptions!$B$14,B90+D90))</f>
        <v/>
      </c>
      <c r="D90" s="15">
        <f>IF(B90&lt;=0,0,B90*Assumptions!$B$6/12)</f>
        <v/>
      </c>
      <c r="E90" s="15">
        <f>IF(B90&lt;=0,0,C90-D90)</f>
        <v/>
      </c>
      <c r="F90" s="15">
        <f>IF(B90&lt;=0,0,B90-E90)</f>
        <v/>
      </c>
      <c r="G90" s="15">
        <f>IF(B90&lt;=0,G89,G89+D90)</f>
        <v/>
      </c>
    </row>
    <row r="91">
      <c r="A91" t="n">
        <v>88</v>
      </c>
      <c r="B91" s="15">
        <f>IF(F90&lt;=0,0,F90)</f>
        <v/>
      </c>
      <c r="C91" s="15">
        <f>IF(B91&lt;=0,0,MIN(Assumptions!$B$14,B91+D91))</f>
        <v/>
      </c>
      <c r="D91" s="15">
        <f>IF(B91&lt;=0,0,B91*Assumptions!$B$6/12)</f>
        <v/>
      </c>
      <c r="E91" s="15">
        <f>IF(B91&lt;=0,0,C91-D91)</f>
        <v/>
      </c>
      <c r="F91" s="15">
        <f>IF(B91&lt;=0,0,B91-E91)</f>
        <v/>
      </c>
      <c r="G91" s="15">
        <f>IF(B91&lt;=0,G90,G90+D91)</f>
        <v/>
      </c>
    </row>
    <row r="92">
      <c r="A92" t="n">
        <v>89</v>
      </c>
      <c r="B92" s="15">
        <f>IF(F91&lt;=0,0,F91)</f>
        <v/>
      </c>
      <c r="C92" s="15">
        <f>IF(B92&lt;=0,0,MIN(Assumptions!$B$14,B92+D92))</f>
        <v/>
      </c>
      <c r="D92" s="15">
        <f>IF(B92&lt;=0,0,B92*Assumptions!$B$6/12)</f>
        <v/>
      </c>
      <c r="E92" s="15">
        <f>IF(B92&lt;=0,0,C92-D92)</f>
        <v/>
      </c>
      <c r="F92" s="15">
        <f>IF(B92&lt;=0,0,B92-E92)</f>
        <v/>
      </c>
      <c r="G92" s="15">
        <f>IF(B92&lt;=0,G91,G91+D92)</f>
        <v/>
      </c>
    </row>
    <row r="93">
      <c r="A93" t="n">
        <v>90</v>
      </c>
      <c r="B93" s="15">
        <f>IF(F92&lt;=0,0,F92)</f>
        <v/>
      </c>
      <c r="C93" s="15">
        <f>IF(B93&lt;=0,0,MIN(Assumptions!$B$14,B93+D93))</f>
        <v/>
      </c>
      <c r="D93" s="15">
        <f>IF(B93&lt;=0,0,B93*Assumptions!$B$6/12)</f>
        <v/>
      </c>
      <c r="E93" s="15">
        <f>IF(B93&lt;=0,0,C93-D93)</f>
        <v/>
      </c>
      <c r="F93" s="15">
        <f>IF(B93&lt;=0,0,B93-E93)</f>
        <v/>
      </c>
      <c r="G93" s="15">
        <f>IF(B93&lt;=0,G92,G92+D93)</f>
        <v/>
      </c>
    </row>
    <row r="94">
      <c r="A94" t="n">
        <v>91</v>
      </c>
      <c r="B94" s="15">
        <f>IF(F93&lt;=0,0,F93)</f>
        <v/>
      </c>
      <c r="C94" s="15">
        <f>IF(B94&lt;=0,0,MIN(Assumptions!$B$14,B94+D94))</f>
        <v/>
      </c>
      <c r="D94" s="15">
        <f>IF(B94&lt;=0,0,B94*Assumptions!$B$6/12)</f>
        <v/>
      </c>
      <c r="E94" s="15">
        <f>IF(B94&lt;=0,0,C94-D94)</f>
        <v/>
      </c>
      <c r="F94" s="15">
        <f>IF(B94&lt;=0,0,B94-E94)</f>
        <v/>
      </c>
      <c r="G94" s="15">
        <f>IF(B94&lt;=0,G93,G93+D94)</f>
        <v/>
      </c>
    </row>
    <row r="95">
      <c r="A95" t="n">
        <v>92</v>
      </c>
      <c r="B95" s="15">
        <f>IF(F94&lt;=0,0,F94)</f>
        <v/>
      </c>
      <c r="C95" s="15">
        <f>IF(B95&lt;=0,0,MIN(Assumptions!$B$14,B95+D95))</f>
        <v/>
      </c>
      <c r="D95" s="15">
        <f>IF(B95&lt;=0,0,B95*Assumptions!$B$6/12)</f>
        <v/>
      </c>
      <c r="E95" s="15">
        <f>IF(B95&lt;=0,0,C95-D95)</f>
        <v/>
      </c>
      <c r="F95" s="15">
        <f>IF(B95&lt;=0,0,B95-E95)</f>
        <v/>
      </c>
      <c r="G95" s="15">
        <f>IF(B95&lt;=0,G94,G94+D95)</f>
        <v/>
      </c>
    </row>
    <row r="96">
      <c r="A96" t="n">
        <v>93</v>
      </c>
      <c r="B96" s="15">
        <f>IF(F95&lt;=0,0,F95)</f>
        <v/>
      </c>
      <c r="C96" s="15">
        <f>IF(B96&lt;=0,0,MIN(Assumptions!$B$14,B96+D96))</f>
        <v/>
      </c>
      <c r="D96" s="15">
        <f>IF(B96&lt;=0,0,B96*Assumptions!$B$6/12)</f>
        <v/>
      </c>
      <c r="E96" s="15">
        <f>IF(B96&lt;=0,0,C96-D96)</f>
        <v/>
      </c>
      <c r="F96" s="15">
        <f>IF(B96&lt;=0,0,B96-E96)</f>
        <v/>
      </c>
      <c r="G96" s="15">
        <f>IF(B96&lt;=0,G95,G95+D96)</f>
        <v/>
      </c>
    </row>
    <row r="97">
      <c r="A97" t="n">
        <v>94</v>
      </c>
      <c r="B97" s="15">
        <f>IF(F96&lt;=0,0,F96)</f>
        <v/>
      </c>
      <c r="C97" s="15">
        <f>IF(B97&lt;=0,0,MIN(Assumptions!$B$14,B97+D97))</f>
        <v/>
      </c>
      <c r="D97" s="15">
        <f>IF(B97&lt;=0,0,B97*Assumptions!$B$6/12)</f>
        <v/>
      </c>
      <c r="E97" s="15">
        <f>IF(B97&lt;=0,0,C97-D97)</f>
        <v/>
      </c>
      <c r="F97" s="15">
        <f>IF(B97&lt;=0,0,B97-E97)</f>
        <v/>
      </c>
      <c r="G97" s="15">
        <f>IF(B97&lt;=0,G96,G96+D97)</f>
        <v/>
      </c>
    </row>
    <row r="98">
      <c r="A98" t="n">
        <v>95</v>
      </c>
      <c r="B98" s="15">
        <f>IF(F97&lt;=0,0,F97)</f>
        <v/>
      </c>
      <c r="C98" s="15">
        <f>IF(B98&lt;=0,0,MIN(Assumptions!$B$14,B98+D98))</f>
        <v/>
      </c>
      <c r="D98" s="15">
        <f>IF(B98&lt;=0,0,B98*Assumptions!$B$6/12)</f>
        <v/>
      </c>
      <c r="E98" s="15">
        <f>IF(B98&lt;=0,0,C98-D98)</f>
        <v/>
      </c>
      <c r="F98" s="15">
        <f>IF(B98&lt;=0,0,B98-E98)</f>
        <v/>
      </c>
      <c r="G98" s="15">
        <f>IF(B98&lt;=0,G97,G97+D98)</f>
        <v/>
      </c>
    </row>
    <row r="99">
      <c r="A99" t="n">
        <v>96</v>
      </c>
      <c r="B99" s="15">
        <f>IF(F98&lt;=0,0,F98)</f>
        <v/>
      </c>
      <c r="C99" s="15">
        <f>IF(B99&lt;=0,0,MIN(Assumptions!$B$14,B99+D99))</f>
        <v/>
      </c>
      <c r="D99" s="15">
        <f>IF(B99&lt;=0,0,B99*Assumptions!$B$6/12)</f>
        <v/>
      </c>
      <c r="E99" s="15">
        <f>IF(B99&lt;=0,0,C99-D99)</f>
        <v/>
      </c>
      <c r="F99" s="15">
        <f>IF(B99&lt;=0,0,B99-E99)</f>
        <v/>
      </c>
      <c r="G99" s="15">
        <f>IF(B99&lt;=0,G98,G98+D99)</f>
        <v/>
      </c>
    </row>
    <row r="100">
      <c r="A100" t="n">
        <v>97</v>
      </c>
      <c r="B100" s="15">
        <f>IF(F99&lt;=0,0,F99)</f>
        <v/>
      </c>
      <c r="C100" s="15">
        <f>IF(B100&lt;=0,0,MIN(Assumptions!$B$14,B100+D100))</f>
        <v/>
      </c>
      <c r="D100" s="15">
        <f>IF(B100&lt;=0,0,B100*Assumptions!$B$6/12)</f>
        <v/>
      </c>
      <c r="E100" s="15">
        <f>IF(B100&lt;=0,0,C100-D100)</f>
        <v/>
      </c>
      <c r="F100" s="15">
        <f>IF(B100&lt;=0,0,B100-E100)</f>
        <v/>
      </c>
      <c r="G100" s="15">
        <f>IF(B100&lt;=0,G99,G99+D100)</f>
        <v/>
      </c>
    </row>
    <row r="101">
      <c r="A101" t="n">
        <v>98</v>
      </c>
      <c r="B101" s="15">
        <f>IF(F100&lt;=0,0,F100)</f>
        <v/>
      </c>
      <c r="C101" s="15">
        <f>IF(B101&lt;=0,0,MIN(Assumptions!$B$14,B101+D101))</f>
        <v/>
      </c>
      <c r="D101" s="15">
        <f>IF(B101&lt;=0,0,B101*Assumptions!$B$6/12)</f>
        <v/>
      </c>
      <c r="E101" s="15">
        <f>IF(B101&lt;=0,0,C101-D101)</f>
        <v/>
      </c>
      <c r="F101" s="15">
        <f>IF(B101&lt;=0,0,B101-E101)</f>
        <v/>
      </c>
      <c r="G101" s="15">
        <f>IF(B101&lt;=0,G100,G100+D101)</f>
        <v/>
      </c>
    </row>
    <row r="102">
      <c r="A102" t="n">
        <v>99</v>
      </c>
      <c r="B102" s="15">
        <f>IF(F101&lt;=0,0,F101)</f>
        <v/>
      </c>
      <c r="C102" s="15">
        <f>IF(B102&lt;=0,0,MIN(Assumptions!$B$14,B102+D102))</f>
        <v/>
      </c>
      <c r="D102" s="15">
        <f>IF(B102&lt;=0,0,B102*Assumptions!$B$6/12)</f>
        <v/>
      </c>
      <c r="E102" s="15">
        <f>IF(B102&lt;=0,0,C102-D102)</f>
        <v/>
      </c>
      <c r="F102" s="15">
        <f>IF(B102&lt;=0,0,B102-E102)</f>
        <v/>
      </c>
      <c r="G102" s="15">
        <f>IF(B102&lt;=0,G101,G101+D102)</f>
        <v/>
      </c>
    </row>
    <row r="103">
      <c r="A103" t="n">
        <v>100</v>
      </c>
      <c r="B103" s="15">
        <f>IF(F102&lt;=0,0,F102)</f>
        <v/>
      </c>
      <c r="C103" s="15">
        <f>IF(B103&lt;=0,0,MIN(Assumptions!$B$14,B103+D103))</f>
        <v/>
      </c>
      <c r="D103" s="15">
        <f>IF(B103&lt;=0,0,B103*Assumptions!$B$6/12)</f>
        <v/>
      </c>
      <c r="E103" s="15">
        <f>IF(B103&lt;=0,0,C103-D103)</f>
        <v/>
      </c>
      <c r="F103" s="15">
        <f>IF(B103&lt;=0,0,B103-E103)</f>
        <v/>
      </c>
      <c r="G103" s="15">
        <f>IF(B103&lt;=0,G102,G102+D103)</f>
        <v/>
      </c>
    </row>
    <row r="104">
      <c r="A104" t="n">
        <v>101</v>
      </c>
      <c r="B104" s="15">
        <f>IF(F103&lt;=0,0,F103)</f>
        <v/>
      </c>
      <c r="C104" s="15">
        <f>IF(B104&lt;=0,0,MIN(Assumptions!$B$14,B104+D104))</f>
        <v/>
      </c>
      <c r="D104" s="15">
        <f>IF(B104&lt;=0,0,B104*Assumptions!$B$6/12)</f>
        <v/>
      </c>
      <c r="E104" s="15">
        <f>IF(B104&lt;=0,0,C104-D104)</f>
        <v/>
      </c>
      <c r="F104" s="15">
        <f>IF(B104&lt;=0,0,B104-E104)</f>
        <v/>
      </c>
      <c r="G104" s="15">
        <f>IF(B104&lt;=0,G103,G103+D104)</f>
        <v/>
      </c>
    </row>
    <row r="105">
      <c r="A105" t="n">
        <v>102</v>
      </c>
      <c r="B105" s="15">
        <f>IF(F104&lt;=0,0,F104)</f>
        <v/>
      </c>
      <c r="C105" s="15">
        <f>IF(B105&lt;=0,0,MIN(Assumptions!$B$14,B105+D105))</f>
        <v/>
      </c>
      <c r="D105" s="15">
        <f>IF(B105&lt;=0,0,B105*Assumptions!$B$6/12)</f>
        <v/>
      </c>
      <c r="E105" s="15">
        <f>IF(B105&lt;=0,0,C105-D105)</f>
        <v/>
      </c>
      <c r="F105" s="15">
        <f>IF(B105&lt;=0,0,B105-E105)</f>
        <v/>
      </c>
      <c r="G105" s="15">
        <f>IF(B105&lt;=0,G104,G104+D105)</f>
        <v/>
      </c>
    </row>
    <row r="106">
      <c r="A106" t="n">
        <v>103</v>
      </c>
      <c r="B106" s="15">
        <f>IF(F105&lt;=0,0,F105)</f>
        <v/>
      </c>
      <c r="C106" s="15">
        <f>IF(B106&lt;=0,0,MIN(Assumptions!$B$14,B106+D106))</f>
        <v/>
      </c>
      <c r="D106" s="15">
        <f>IF(B106&lt;=0,0,B106*Assumptions!$B$6/12)</f>
        <v/>
      </c>
      <c r="E106" s="15">
        <f>IF(B106&lt;=0,0,C106-D106)</f>
        <v/>
      </c>
      <c r="F106" s="15">
        <f>IF(B106&lt;=0,0,B106-E106)</f>
        <v/>
      </c>
      <c r="G106" s="15">
        <f>IF(B106&lt;=0,G105,G105+D106)</f>
        <v/>
      </c>
    </row>
    <row r="107">
      <c r="A107" t="n">
        <v>104</v>
      </c>
      <c r="B107" s="15">
        <f>IF(F106&lt;=0,0,F106)</f>
        <v/>
      </c>
      <c r="C107" s="15">
        <f>IF(B107&lt;=0,0,MIN(Assumptions!$B$14,B107+D107))</f>
        <v/>
      </c>
      <c r="D107" s="15">
        <f>IF(B107&lt;=0,0,B107*Assumptions!$B$6/12)</f>
        <v/>
      </c>
      <c r="E107" s="15">
        <f>IF(B107&lt;=0,0,C107-D107)</f>
        <v/>
      </c>
      <c r="F107" s="15">
        <f>IF(B107&lt;=0,0,B107-E107)</f>
        <v/>
      </c>
      <c r="G107" s="15">
        <f>IF(B107&lt;=0,G106,G106+D107)</f>
        <v/>
      </c>
    </row>
    <row r="108">
      <c r="A108" t="n">
        <v>105</v>
      </c>
      <c r="B108" s="15">
        <f>IF(F107&lt;=0,0,F107)</f>
        <v/>
      </c>
      <c r="C108" s="15">
        <f>IF(B108&lt;=0,0,MIN(Assumptions!$B$14,B108+D108))</f>
        <v/>
      </c>
      <c r="D108" s="15">
        <f>IF(B108&lt;=0,0,B108*Assumptions!$B$6/12)</f>
        <v/>
      </c>
      <c r="E108" s="15">
        <f>IF(B108&lt;=0,0,C108-D108)</f>
        <v/>
      </c>
      <c r="F108" s="15">
        <f>IF(B108&lt;=0,0,B108-E108)</f>
        <v/>
      </c>
      <c r="G108" s="15">
        <f>IF(B108&lt;=0,G107,G107+D108)</f>
        <v/>
      </c>
    </row>
    <row r="109">
      <c r="A109" t="n">
        <v>106</v>
      </c>
      <c r="B109" s="15">
        <f>IF(F108&lt;=0,0,F108)</f>
        <v/>
      </c>
      <c r="C109" s="15">
        <f>IF(B109&lt;=0,0,MIN(Assumptions!$B$14,B109+D109))</f>
        <v/>
      </c>
      <c r="D109" s="15">
        <f>IF(B109&lt;=0,0,B109*Assumptions!$B$6/12)</f>
        <v/>
      </c>
      <c r="E109" s="15">
        <f>IF(B109&lt;=0,0,C109-D109)</f>
        <v/>
      </c>
      <c r="F109" s="15">
        <f>IF(B109&lt;=0,0,B109-E109)</f>
        <v/>
      </c>
      <c r="G109" s="15">
        <f>IF(B109&lt;=0,G108,G108+D109)</f>
        <v/>
      </c>
    </row>
    <row r="110">
      <c r="A110" t="n">
        <v>107</v>
      </c>
      <c r="B110" s="15">
        <f>IF(F109&lt;=0,0,F109)</f>
        <v/>
      </c>
      <c r="C110" s="15">
        <f>IF(B110&lt;=0,0,MIN(Assumptions!$B$14,B110+D110))</f>
        <v/>
      </c>
      <c r="D110" s="15">
        <f>IF(B110&lt;=0,0,B110*Assumptions!$B$6/12)</f>
        <v/>
      </c>
      <c r="E110" s="15">
        <f>IF(B110&lt;=0,0,C110-D110)</f>
        <v/>
      </c>
      <c r="F110" s="15">
        <f>IF(B110&lt;=0,0,B110-E110)</f>
        <v/>
      </c>
      <c r="G110" s="15">
        <f>IF(B110&lt;=0,G109,G109+D110)</f>
        <v/>
      </c>
    </row>
    <row r="111">
      <c r="A111" t="n">
        <v>108</v>
      </c>
      <c r="B111" s="15">
        <f>IF(F110&lt;=0,0,F110)</f>
        <v/>
      </c>
      <c r="C111" s="15">
        <f>IF(B111&lt;=0,0,MIN(Assumptions!$B$14,B111+D111))</f>
        <v/>
      </c>
      <c r="D111" s="15">
        <f>IF(B111&lt;=0,0,B111*Assumptions!$B$6/12)</f>
        <v/>
      </c>
      <c r="E111" s="15">
        <f>IF(B111&lt;=0,0,C111-D111)</f>
        <v/>
      </c>
      <c r="F111" s="15">
        <f>IF(B111&lt;=0,0,B111-E111)</f>
        <v/>
      </c>
      <c r="G111" s="15">
        <f>IF(B111&lt;=0,G110,G110+D111)</f>
        <v/>
      </c>
    </row>
    <row r="112">
      <c r="A112" t="n">
        <v>109</v>
      </c>
      <c r="B112" s="15">
        <f>IF(F111&lt;=0,0,F111)</f>
        <v/>
      </c>
      <c r="C112" s="15">
        <f>IF(B112&lt;=0,0,MIN(Assumptions!$B$14,B112+D112))</f>
        <v/>
      </c>
      <c r="D112" s="15">
        <f>IF(B112&lt;=0,0,B112*Assumptions!$B$6/12)</f>
        <v/>
      </c>
      <c r="E112" s="15">
        <f>IF(B112&lt;=0,0,C112-D112)</f>
        <v/>
      </c>
      <c r="F112" s="15">
        <f>IF(B112&lt;=0,0,B112-E112)</f>
        <v/>
      </c>
      <c r="G112" s="15">
        <f>IF(B112&lt;=0,G111,G111+D112)</f>
        <v/>
      </c>
    </row>
    <row r="113">
      <c r="A113" t="n">
        <v>110</v>
      </c>
      <c r="B113" s="15">
        <f>IF(F112&lt;=0,0,F112)</f>
        <v/>
      </c>
      <c r="C113" s="15">
        <f>IF(B113&lt;=0,0,MIN(Assumptions!$B$14,B113+D113))</f>
        <v/>
      </c>
      <c r="D113" s="15">
        <f>IF(B113&lt;=0,0,B113*Assumptions!$B$6/12)</f>
        <v/>
      </c>
      <c r="E113" s="15">
        <f>IF(B113&lt;=0,0,C113-D113)</f>
        <v/>
      </c>
      <c r="F113" s="15">
        <f>IF(B113&lt;=0,0,B113-E113)</f>
        <v/>
      </c>
      <c r="G113" s="15">
        <f>IF(B113&lt;=0,G112,G112+D113)</f>
        <v/>
      </c>
    </row>
    <row r="114">
      <c r="A114" t="n">
        <v>111</v>
      </c>
      <c r="B114" s="15">
        <f>IF(F113&lt;=0,0,F113)</f>
        <v/>
      </c>
      <c r="C114" s="15">
        <f>IF(B114&lt;=0,0,MIN(Assumptions!$B$14,B114+D114))</f>
        <v/>
      </c>
      <c r="D114" s="15">
        <f>IF(B114&lt;=0,0,B114*Assumptions!$B$6/12)</f>
        <v/>
      </c>
      <c r="E114" s="15">
        <f>IF(B114&lt;=0,0,C114-D114)</f>
        <v/>
      </c>
      <c r="F114" s="15">
        <f>IF(B114&lt;=0,0,B114-E114)</f>
        <v/>
      </c>
      <c r="G114" s="15">
        <f>IF(B114&lt;=0,G113,G113+D114)</f>
        <v/>
      </c>
    </row>
    <row r="115">
      <c r="A115" t="n">
        <v>112</v>
      </c>
      <c r="B115" s="15">
        <f>IF(F114&lt;=0,0,F114)</f>
        <v/>
      </c>
      <c r="C115" s="15">
        <f>IF(B115&lt;=0,0,MIN(Assumptions!$B$14,B115+D115))</f>
        <v/>
      </c>
      <c r="D115" s="15">
        <f>IF(B115&lt;=0,0,B115*Assumptions!$B$6/12)</f>
        <v/>
      </c>
      <c r="E115" s="15">
        <f>IF(B115&lt;=0,0,C115-D115)</f>
        <v/>
      </c>
      <c r="F115" s="15">
        <f>IF(B115&lt;=0,0,B115-E115)</f>
        <v/>
      </c>
      <c r="G115" s="15">
        <f>IF(B115&lt;=0,G114,G114+D115)</f>
        <v/>
      </c>
    </row>
    <row r="116">
      <c r="A116" t="n">
        <v>113</v>
      </c>
      <c r="B116" s="15">
        <f>IF(F115&lt;=0,0,F115)</f>
        <v/>
      </c>
      <c r="C116" s="15">
        <f>IF(B116&lt;=0,0,MIN(Assumptions!$B$14,B116+D116))</f>
        <v/>
      </c>
      <c r="D116" s="15">
        <f>IF(B116&lt;=0,0,B116*Assumptions!$B$6/12)</f>
        <v/>
      </c>
      <c r="E116" s="15">
        <f>IF(B116&lt;=0,0,C116-D116)</f>
        <v/>
      </c>
      <c r="F116" s="15">
        <f>IF(B116&lt;=0,0,B116-E116)</f>
        <v/>
      </c>
      <c r="G116" s="15">
        <f>IF(B116&lt;=0,G115,G115+D116)</f>
        <v/>
      </c>
    </row>
    <row r="117">
      <c r="A117" t="n">
        <v>114</v>
      </c>
      <c r="B117" s="15">
        <f>IF(F116&lt;=0,0,F116)</f>
        <v/>
      </c>
      <c r="C117" s="15">
        <f>IF(B117&lt;=0,0,MIN(Assumptions!$B$14,B117+D117))</f>
        <v/>
      </c>
      <c r="D117" s="15">
        <f>IF(B117&lt;=0,0,B117*Assumptions!$B$6/12)</f>
        <v/>
      </c>
      <c r="E117" s="15">
        <f>IF(B117&lt;=0,0,C117-D117)</f>
        <v/>
      </c>
      <c r="F117" s="15">
        <f>IF(B117&lt;=0,0,B117-E117)</f>
        <v/>
      </c>
      <c r="G117" s="15">
        <f>IF(B117&lt;=0,G116,G116+D117)</f>
        <v/>
      </c>
    </row>
    <row r="118">
      <c r="A118" t="n">
        <v>115</v>
      </c>
      <c r="B118" s="15">
        <f>IF(F117&lt;=0,0,F117)</f>
        <v/>
      </c>
      <c r="C118" s="15">
        <f>IF(B118&lt;=0,0,MIN(Assumptions!$B$14,B118+D118))</f>
        <v/>
      </c>
      <c r="D118" s="15">
        <f>IF(B118&lt;=0,0,B118*Assumptions!$B$6/12)</f>
        <v/>
      </c>
      <c r="E118" s="15">
        <f>IF(B118&lt;=0,0,C118-D118)</f>
        <v/>
      </c>
      <c r="F118" s="15">
        <f>IF(B118&lt;=0,0,B118-E118)</f>
        <v/>
      </c>
      <c r="G118" s="15">
        <f>IF(B118&lt;=0,G117,G117+D118)</f>
        <v/>
      </c>
    </row>
    <row r="119">
      <c r="A119" t="n">
        <v>116</v>
      </c>
      <c r="B119" s="15">
        <f>IF(F118&lt;=0,0,F118)</f>
        <v/>
      </c>
      <c r="C119" s="15">
        <f>IF(B119&lt;=0,0,MIN(Assumptions!$B$14,B119+D119))</f>
        <v/>
      </c>
      <c r="D119" s="15">
        <f>IF(B119&lt;=0,0,B119*Assumptions!$B$6/12)</f>
        <v/>
      </c>
      <c r="E119" s="15">
        <f>IF(B119&lt;=0,0,C119-D119)</f>
        <v/>
      </c>
      <c r="F119" s="15">
        <f>IF(B119&lt;=0,0,B119-E119)</f>
        <v/>
      </c>
      <c r="G119" s="15">
        <f>IF(B119&lt;=0,G118,G118+D119)</f>
        <v/>
      </c>
    </row>
    <row r="120">
      <c r="A120" t="n">
        <v>117</v>
      </c>
      <c r="B120" s="15">
        <f>IF(F119&lt;=0,0,F119)</f>
        <v/>
      </c>
      <c r="C120" s="15">
        <f>IF(B120&lt;=0,0,MIN(Assumptions!$B$14,B120+D120))</f>
        <v/>
      </c>
      <c r="D120" s="15">
        <f>IF(B120&lt;=0,0,B120*Assumptions!$B$6/12)</f>
        <v/>
      </c>
      <c r="E120" s="15">
        <f>IF(B120&lt;=0,0,C120-D120)</f>
        <v/>
      </c>
      <c r="F120" s="15">
        <f>IF(B120&lt;=0,0,B120-E120)</f>
        <v/>
      </c>
      <c r="G120" s="15">
        <f>IF(B120&lt;=0,G119,G119+D120)</f>
        <v/>
      </c>
    </row>
    <row r="121">
      <c r="A121" t="n">
        <v>118</v>
      </c>
      <c r="B121" s="15">
        <f>IF(F120&lt;=0,0,F120)</f>
        <v/>
      </c>
      <c r="C121" s="15">
        <f>IF(B121&lt;=0,0,MIN(Assumptions!$B$14,B121+D121))</f>
        <v/>
      </c>
      <c r="D121" s="15">
        <f>IF(B121&lt;=0,0,B121*Assumptions!$B$6/12)</f>
        <v/>
      </c>
      <c r="E121" s="15">
        <f>IF(B121&lt;=0,0,C121-D121)</f>
        <v/>
      </c>
      <c r="F121" s="15">
        <f>IF(B121&lt;=0,0,B121-E121)</f>
        <v/>
      </c>
      <c r="G121" s="15">
        <f>IF(B121&lt;=0,G120,G120+D121)</f>
        <v/>
      </c>
    </row>
    <row r="122">
      <c r="A122" t="n">
        <v>119</v>
      </c>
      <c r="B122" s="15">
        <f>IF(F121&lt;=0,0,F121)</f>
        <v/>
      </c>
      <c r="C122" s="15">
        <f>IF(B122&lt;=0,0,MIN(Assumptions!$B$14,B122+D122))</f>
        <v/>
      </c>
      <c r="D122" s="15">
        <f>IF(B122&lt;=0,0,B122*Assumptions!$B$6/12)</f>
        <v/>
      </c>
      <c r="E122" s="15">
        <f>IF(B122&lt;=0,0,C122-D122)</f>
        <v/>
      </c>
      <c r="F122" s="15">
        <f>IF(B122&lt;=0,0,B122-E122)</f>
        <v/>
      </c>
      <c r="G122" s="15">
        <f>IF(B122&lt;=0,G121,G121+D122)</f>
        <v/>
      </c>
    </row>
    <row r="123">
      <c r="A123" t="n">
        <v>120</v>
      </c>
      <c r="B123" s="15">
        <f>IF(F122&lt;=0,0,F122)</f>
        <v/>
      </c>
      <c r="C123" s="15">
        <f>IF(B123&lt;=0,0,MIN(Assumptions!$B$14,B123+D123))</f>
        <v/>
      </c>
      <c r="D123" s="15">
        <f>IF(B123&lt;=0,0,B123*Assumptions!$B$6/12)</f>
        <v/>
      </c>
      <c r="E123" s="15">
        <f>IF(B123&lt;=0,0,C123-D123)</f>
        <v/>
      </c>
      <c r="F123" s="15">
        <f>IF(B123&lt;=0,0,B123-E123)</f>
        <v/>
      </c>
      <c r="G123" s="15">
        <f>IF(B123&lt;=0,G122,G122+D123)</f>
        <v/>
      </c>
    </row>
    <row r="124">
      <c r="A124" t="n">
        <v>121</v>
      </c>
      <c r="B124" s="15">
        <f>IF(F123&lt;=0,0,F123)</f>
        <v/>
      </c>
      <c r="C124" s="15">
        <f>IF(B124&lt;=0,0,MIN(Assumptions!$B$14,B124+D124))</f>
        <v/>
      </c>
      <c r="D124" s="15">
        <f>IF(B124&lt;=0,0,B124*Assumptions!$B$6/12)</f>
        <v/>
      </c>
      <c r="E124" s="15">
        <f>IF(B124&lt;=0,0,C124-D124)</f>
        <v/>
      </c>
      <c r="F124" s="15">
        <f>IF(B124&lt;=0,0,B124-E124)</f>
        <v/>
      </c>
      <c r="G124" s="15">
        <f>IF(B124&lt;=0,G123,G123+D124)</f>
        <v/>
      </c>
    </row>
    <row r="125">
      <c r="A125" t="n">
        <v>122</v>
      </c>
      <c r="B125" s="15">
        <f>IF(F124&lt;=0,0,F124)</f>
        <v/>
      </c>
      <c r="C125" s="15">
        <f>IF(B125&lt;=0,0,MIN(Assumptions!$B$14,B125+D125))</f>
        <v/>
      </c>
      <c r="D125" s="15">
        <f>IF(B125&lt;=0,0,B125*Assumptions!$B$6/12)</f>
        <v/>
      </c>
      <c r="E125" s="15">
        <f>IF(B125&lt;=0,0,C125-D125)</f>
        <v/>
      </c>
      <c r="F125" s="15">
        <f>IF(B125&lt;=0,0,B125-E125)</f>
        <v/>
      </c>
      <c r="G125" s="15">
        <f>IF(B125&lt;=0,G124,G124+D125)</f>
        <v/>
      </c>
    </row>
    <row r="126">
      <c r="A126" t="n">
        <v>123</v>
      </c>
      <c r="B126" s="15">
        <f>IF(F125&lt;=0,0,F125)</f>
        <v/>
      </c>
      <c r="C126" s="15">
        <f>IF(B126&lt;=0,0,MIN(Assumptions!$B$14,B126+D126))</f>
        <v/>
      </c>
      <c r="D126" s="15">
        <f>IF(B126&lt;=0,0,B126*Assumptions!$B$6/12)</f>
        <v/>
      </c>
      <c r="E126" s="15">
        <f>IF(B126&lt;=0,0,C126-D126)</f>
        <v/>
      </c>
      <c r="F126" s="15">
        <f>IF(B126&lt;=0,0,B126-E126)</f>
        <v/>
      </c>
      <c r="G126" s="15">
        <f>IF(B126&lt;=0,G125,G125+D126)</f>
        <v/>
      </c>
    </row>
    <row r="127">
      <c r="A127" t="n">
        <v>124</v>
      </c>
      <c r="B127" s="15">
        <f>IF(F126&lt;=0,0,F126)</f>
        <v/>
      </c>
      <c r="C127" s="15">
        <f>IF(B127&lt;=0,0,MIN(Assumptions!$B$14,B127+D127))</f>
        <v/>
      </c>
      <c r="D127" s="15">
        <f>IF(B127&lt;=0,0,B127*Assumptions!$B$6/12)</f>
        <v/>
      </c>
      <c r="E127" s="15">
        <f>IF(B127&lt;=0,0,C127-D127)</f>
        <v/>
      </c>
      <c r="F127" s="15">
        <f>IF(B127&lt;=0,0,B127-E127)</f>
        <v/>
      </c>
      <c r="G127" s="15">
        <f>IF(B127&lt;=0,G126,G126+D127)</f>
        <v/>
      </c>
    </row>
    <row r="128">
      <c r="A128" t="n">
        <v>125</v>
      </c>
      <c r="B128" s="15">
        <f>IF(F127&lt;=0,0,F127)</f>
        <v/>
      </c>
      <c r="C128" s="15">
        <f>IF(B128&lt;=0,0,MIN(Assumptions!$B$14,B128+D128))</f>
        <v/>
      </c>
      <c r="D128" s="15">
        <f>IF(B128&lt;=0,0,B128*Assumptions!$B$6/12)</f>
        <v/>
      </c>
      <c r="E128" s="15">
        <f>IF(B128&lt;=0,0,C128-D128)</f>
        <v/>
      </c>
      <c r="F128" s="15">
        <f>IF(B128&lt;=0,0,B128-E128)</f>
        <v/>
      </c>
      <c r="G128" s="15">
        <f>IF(B128&lt;=0,G127,G127+D128)</f>
        <v/>
      </c>
    </row>
    <row r="129">
      <c r="A129" t="n">
        <v>126</v>
      </c>
      <c r="B129" s="15">
        <f>IF(F128&lt;=0,0,F128)</f>
        <v/>
      </c>
      <c r="C129" s="15">
        <f>IF(B129&lt;=0,0,MIN(Assumptions!$B$14,B129+D129))</f>
        <v/>
      </c>
      <c r="D129" s="15">
        <f>IF(B129&lt;=0,0,B129*Assumptions!$B$6/12)</f>
        <v/>
      </c>
      <c r="E129" s="15">
        <f>IF(B129&lt;=0,0,C129-D129)</f>
        <v/>
      </c>
      <c r="F129" s="15">
        <f>IF(B129&lt;=0,0,B129-E129)</f>
        <v/>
      </c>
      <c r="G129" s="15">
        <f>IF(B129&lt;=0,G128,G128+D129)</f>
        <v/>
      </c>
    </row>
    <row r="130">
      <c r="A130" t="n">
        <v>127</v>
      </c>
      <c r="B130" s="15">
        <f>IF(F129&lt;=0,0,F129)</f>
        <v/>
      </c>
      <c r="C130" s="15">
        <f>IF(B130&lt;=0,0,MIN(Assumptions!$B$14,B130+D130))</f>
        <v/>
      </c>
      <c r="D130" s="15">
        <f>IF(B130&lt;=0,0,B130*Assumptions!$B$6/12)</f>
        <v/>
      </c>
      <c r="E130" s="15">
        <f>IF(B130&lt;=0,0,C130-D130)</f>
        <v/>
      </c>
      <c r="F130" s="15">
        <f>IF(B130&lt;=0,0,B130-E130)</f>
        <v/>
      </c>
      <c r="G130" s="15">
        <f>IF(B130&lt;=0,G129,G129+D130)</f>
        <v/>
      </c>
    </row>
    <row r="131">
      <c r="A131" t="n">
        <v>128</v>
      </c>
      <c r="B131" s="15">
        <f>IF(F130&lt;=0,0,F130)</f>
        <v/>
      </c>
      <c r="C131" s="15">
        <f>IF(B131&lt;=0,0,MIN(Assumptions!$B$14,B131+D131))</f>
        <v/>
      </c>
      <c r="D131" s="15">
        <f>IF(B131&lt;=0,0,B131*Assumptions!$B$6/12)</f>
        <v/>
      </c>
      <c r="E131" s="15">
        <f>IF(B131&lt;=0,0,C131-D131)</f>
        <v/>
      </c>
      <c r="F131" s="15">
        <f>IF(B131&lt;=0,0,B131-E131)</f>
        <v/>
      </c>
      <c r="G131" s="15">
        <f>IF(B131&lt;=0,G130,G130+D131)</f>
        <v/>
      </c>
    </row>
    <row r="132">
      <c r="A132" t="n">
        <v>129</v>
      </c>
      <c r="B132" s="15">
        <f>IF(F131&lt;=0,0,F131)</f>
        <v/>
      </c>
      <c r="C132" s="15">
        <f>IF(B132&lt;=0,0,MIN(Assumptions!$B$14,B132+D132))</f>
        <v/>
      </c>
      <c r="D132" s="15">
        <f>IF(B132&lt;=0,0,B132*Assumptions!$B$6/12)</f>
        <v/>
      </c>
      <c r="E132" s="15">
        <f>IF(B132&lt;=0,0,C132-D132)</f>
        <v/>
      </c>
      <c r="F132" s="15">
        <f>IF(B132&lt;=0,0,B132-E132)</f>
        <v/>
      </c>
      <c r="G132" s="15">
        <f>IF(B132&lt;=0,G131,G131+D132)</f>
        <v/>
      </c>
    </row>
    <row r="133">
      <c r="A133" t="n">
        <v>130</v>
      </c>
      <c r="B133" s="15">
        <f>IF(F132&lt;=0,0,F132)</f>
        <v/>
      </c>
      <c r="C133" s="15">
        <f>IF(B133&lt;=0,0,MIN(Assumptions!$B$14,B133+D133))</f>
        <v/>
      </c>
      <c r="D133" s="15">
        <f>IF(B133&lt;=0,0,B133*Assumptions!$B$6/12)</f>
        <v/>
      </c>
      <c r="E133" s="15">
        <f>IF(B133&lt;=0,0,C133-D133)</f>
        <v/>
      </c>
      <c r="F133" s="15">
        <f>IF(B133&lt;=0,0,B133-E133)</f>
        <v/>
      </c>
      <c r="G133" s="15">
        <f>IF(B133&lt;=0,G132,G132+D133)</f>
        <v/>
      </c>
    </row>
    <row r="134">
      <c r="A134" t="n">
        <v>131</v>
      </c>
      <c r="B134" s="15">
        <f>IF(F133&lt;=0,0,F133)</f>
        <v/>
      </c>
      <c r="C134" s="15">
        <f>IF(B134&lt;=0,0,MIN(Assumptions!$B$14,B134+D134))</f>
        <v/>
      </c>
      <c r="D134" s="15">
        <f>IF(B134&lt;=0,0,B134*Assumptions!$B$6/12)</f>
        <v/>
      </c>
      <c r="E134" s="15">
        <f>IF(B134&lt;=0,0,C134-D134)</f>
        <v/>
      </c>
      <c r="F134" s="15">
        <f>IF(B134&lt;=0,0,B134-E134)</f>
        <v/>
      </c>
      <c r="G134" s="15">
        <f>IF(B134&lt;=0,G133,G133+D134)</f>
        <v/>
      </c>
    </row>
    <row r="135">
      <c r="A135" t="n">
        <v>132</v>
      </c>
      <c r="B135" s="15">
        <f>IF(F134&lt;=0,0,F134)</f>
        <v/>
      </c>
      <c r="C135" s="15">
        <f>IF(B135&lt;=0,0,MIN(Assumptions!$B$14,B135+D135))</f>
        <v/>
      </c>
      <c r="D135" s="15">
        <f>IF(B135&lt;=0,0,B135*Assumptions!$B$6/12)</f>
        <v/>
      </c>
      <c r="E135" s="15">
        <f>IF(B135&lt;=0,0,C135-D135)</f>
        <v/>
      </c>
      <c r="F135" s="15">
        <f>IF(B135&lt;=0,0,B135-E135)</f>
        <v/>
      </c>
      <c r="G135" s="15">
        <f>IF(B135&lt;=0,G134,G134+D135)</f>
        <v/>
      </c>
    </row>
    <row r="136">
      <c r="A136" t="n">
        <v>133</v>
      </c>
      <c r="B136" s="15">
        <f>IF(F135&lt;=0,0,F135)</f>
        <v/>
      </c>
      <c r="C136" s="15">
        <f>IF(B136&lt;=0,0,MIN(Assumptions!$B$14,B136+D136))</f>
        <v/>
      </c>
      <c r="D136" s="15">
        <f>IF(B136&lt;=0,0,B136*Assumptions!$B$6/12)</f>
        <v/>
      </c>
      <c r="E136" s="15">
        <f>IF(B136&lt;=0,0,C136-D136)</f>
        <v/>
      </c>
      <c r="F136" s="15">
        <f>IF(B136&lt;=0,0,B136-E136)</f>
        <v/>
      </c>
      <c r="G136" s="15">
        <f>IF(B136&lt;=0,G135,G135+D136)</f>
        <v/>
      </c>
    </row>
    <row r="137">
      <c r="A137" t="n">
        <v>134</v>
      </c>
      <c r="B137" s="15">
        <f>IF(F136&lt;=0,0,F136)</f>
        <v/>
      </c>
      <c r="C137" s="15">
        <f>IF(B137&lt;=0,0,MIN(Assumptions!$B$14,B137+D137))</f>
        <v/>
      </c>
      <c r="D137" s="15">
        <f>IF(B137&lt;=0,0,B137*Assumptions!$B$6/12)</f>
        <v/>
      </c>
      <c r="E137" s="15">
        <f>IF(B137&lt;=0,0,C137-D137)</f>
        <v/>
      </c>
      <c r="F137" s="15">
        <f>IF(B137&lt;=0,0,B137-E137)</f>
        <v/>
      </c>
      <c r="G137" s="15">
        <f>IF(B137&lt;=0,G136,G136+D137)</f>
        <v/>
      </c>
    </row>
    <row r="138">
      <c r="A138" t="n">
        <v>135</v>
      </c>
      <c r="B138" s="15">
        <f>IF(F137&lt;=0,0,F137)</f>
        <v/>
      </c>
      <c r="C138" s="15">
        <f>IF(B138&lt;=0,0,MIN(Assumptions!$B$14,B138+D138))</f>
        <v/>
      </c>
      <c r="D138" s="15">
        <f>IF(B138&lt;=0,0,B138*Assumptions!$B$6/12)</f>
        <v/>
      </c>
      <c r="E138" s="15">
        <f>IF(B138&lt;=0,0,C138-D138)</f>
        <v/>
      </c>
      <c r="F138" s="15">
        <f>IF(B138&lt;=0,0,B138-E138)</f>
        <v/>
      </c>
      <c r="G138" s="15">
        <f>IF(B138&lt;=0,G137,G137+D138)</f>
        <v/>
      </c>
    </row>
    <row r="139">
      <c r="A139" t="n">
        <v>136</v>
      </c>
      <c r="B139" s="15">
        <f>IF(F138&lt;=0,0,F138)</f>
        <v/>
      </c>
      <c r="C139" s="15">
        <f>IF(B139&lt;=0,0,MIN(Assumptions!$B$14,B139+D139))</f>
        <v/>
      </c>
      <c r="D139" s="15">
        <f>IF(B139&lt;=0,0,B139*Assumptions!$B$6/12)</f>
        <v/>
      </c>
      <c r="E139" s="15">
        <f>IF(B139&lt;=0,0,C139-D139)</f>
        <v/>
      </c>
      <c r="F139" s="15">
        <f>IF(B139&lt;=0,0,B139-E139)</f>
        <v/>
      </c>
      <c r="G139" s="15">
        <f>IF(B139&lt;=0,G138,G138+D139)</f>
        <v/>
      </c>
    </row>
    <row r="140">
      <c r="A140" t="n">
        <v>137</v>
      </c>
      <c r="B140" s="15">
        <f>IF(F139&lt;=0,0,F139)</f>
        <v/>
      </c>
      <c r="C140" s="15">
        <f>IF(B140&lt;=0,0,MIN(Assumptions!$B$14,B140+D140))</f>
        <v/>
      </c>
      <c r="D140" s="15">
        <f>IF(B140&lt;=0,0,B140*Assumptions!$B$6/12)</f>
        <v/>
      </c>
      <c r="E140" s="15">
        <f>IF(B140&lt;=0,0,C140-D140)</f>
        <v/>
      </c>
      <c r="F140" s="15">
        <f>IF(B140&lt;=0,0,B140-E140)</f>
        <v/>
      </c>
      <c r="G140" s="15">
        <f>IF(B140&lt;=0,G139,G139+D140)</f>
        <v/>
      </c>
    </row>
    <row r="141">
      <c r="A141" t="n">
        <v>138</v>
      </c>
      <c r="B141" s="15">
        <f>IF(F140&lt;=0,0,F140)</f>
        <v/>
      </c>
      <c r="C141" s="15">
        <f>IF(B141&lt;=0,0,MIN(Assumptions!$B$14,B141+D141))</f>
        <v/>
      </c>
      <c r="D141" s="15">
        <f>IF(B141&lt;=0,0,B141*Assumptions!$B$6/12)</f>
        <v/>
      </c>
      <c r="E141" s="15">
        <f>IF(B141&lt;=0,0,C141-D141)</f>
        <v/>
      </c>
      <c r="F141" s="15">
        <f>IF(B141&lt;=0,0,B141-E141)</f>
        <v/>
      </c>
      <c r="G141" s="15">
        <f>IF(B141&lt;=0,G140,G140+D141)</f>
        <v/>
      </c>
    </row>
    <row r="142">
      <c r="A142" t="n">
        <v>139</v>
      </c>
      <c r="B142" s="15">
        <f>IF(F141&lt;=0,0,F141)</f>
        <v/>
      </c>
      <c r="C142" s="15">
        <f>IF(B142&lt;=0,0,MIN(Assumptions!$B$14,B142+D142))</f>
        <v/>
      </c>
      <c r="D142" s="15">
        <f>IF(B142&lt;=0,0,B142*Assumptions!$B$6/12)</f>
        <v/>
      </c>
      <c r="E142" s="15">
        <f>IF(B142&lt;=0,0,C142-D142)</f>
        <v/>
      </c>
      <c r="F142" s="15">
        <f>IF(B142&lt;=0,0,B142-E142)</f>
        <v/>
      </c>
      <c r="G142" s="15">
        <f>IF(B142&lt;=0,G141,G141+D142)</f>
        <v/>
      </c>
    </row>
    <row r="143">
      <c r="A143" t="n">
        <v>140</v>
      </c>
      <c r="B143" s="15">
        <f>IF(F142&lt;=0,0,F142)</f>
        <v/>
      </c>
      <c r="C143" s="15">
        <f>IF(B143&lt;=0,0,MIN(Assumptions!$B$14,B143+D143))</f>
        <v/>
      </c>
      <c r="D143" s="15">
        <f>IF(B143&lt;=0,0,B143*Assumptions!$B$6/12)</f>
        <v/>
      </c>
      <c r="E143" s="15">
        <f>IF(B143&lt;=0,0,C143-D143)</f>
        <v/>
      </c>
      <c r="F143" s="15">
        <f>IF(B143&lt;=0,0,B143-E143)</f>
        <v/>
      </c>
      <c r="G143" s="15">
        <f>IF(B143&lt;=0,G142,G142+D143)</f>
        <v/>
      </c>
    </row>
    <row r="144">
      <c r="A144" t="n">
        <v>141</v>
      </c>
      <c r="B144" s="15">
        <f>IF(F143&lt;=0,0,F143)</f>
        <v/>
      </c>
      <c r="C144" s="15">
        <f>IF(B144&lt;=0,0,MIN(Assumptions!$B$14,B144+D144))</f>
        <v/>
      </c>
      <c r="D144" s="15">
        <f>IF(B144&lt;=0,0,B144*Assumptions!$B$6/12)</f>
        <v/>
      </c>
      <c r="E144" s="15">
        <f>IF(B144&lt;=0,0,C144-D144)</f>
        <v/>
      </c>
      <c r="F144" s="15">
        <f>IF(B144&lt;=0,0,B144-E144)</f>
        <v/>
      </c>
      <c r="G144" s="15">
        <f>IF(B144&lt;=0,G143,G143+D144)</f>
        <v/>
      </c>
    </row>
    <row r="145">
      <c r="A145" t="n">
        <v>142</v>
      </c>
      <c r="B145" s="15">
        <f>IF(F144&lt;=0,0,F144)</f>
        <v/>
      </c>
      <c r="C145" s="15">
        <f>IF(B145&lt;=0,0,MIN(Assumptions!$B$14,B145+D145))</f>
        <v/>
      </c>
      <c r="D145" s="15">
        <f>IF(B145&lt;=0,0,B145*Assumptions!$B$6/12)</f>
        <v/>
      </c>
      <c r="E145" s="15">
        <f>IF(B145&lt;=0,0,C145-D145)</f>
        <v/>
      </c>
      <c r="F145" s="15">
        <f>IF(B145&lt;=0,0,B145-E145)</f>
        <v/>
      </c>
      <c r="G145" s="15">
        <f>IF(B145&lt;=0,G144,G144+D145)</f>
        <v/>
      </c>
    </row>
    <row r="146">
      <c r="A146" t="n">
        <v>143</v>
      </c>
      <c r="B146" s="15">
        <f>IF(F145&lt;=0,0,F145)</f>
        <v/>
      </c>
      <c r="C146" s="15">
        <f>IF(B146&lt;=0,0,MIN(Assumptions!$B$14,B146+D146))</f>
        <v/>
      </c>
      <c r="D146" s="15">
        <f>IF(B146&lt;=0,0,B146*Assumptions!$B$6/12)</f>
        <v/>
      </c>
      <c r="E146" s="15">
        <f>IF(B146&lt;=0,0,C146-D146)</f>
        <v/>
      </c>
      <c r="F146" s="15">
        <f>IF(B146&lt;=0,0,B146-E146)</f>
        <v/>
      </c>
      <c r="G146" s="15">
        <f>IF(B146&lt;=0,G145,G145+D146)</f>
        <v/>
      </c>
    </row>
    <row r="147">
      <c r="A147" t="n">
        <v>144</v>
      </c>
      <c r="B147" s="15">
        <f>IF(F146&lt;=0,0,F146)</f>
        <v/>
      </c>
      <c r="C147" s="15">
        <f>IF(B147&lt;=0,0,MIN(Assumptions!$B$14,B147+D147))</f>
        <v/>
      </c>
      <c r="D147" s="15">
        <f>IF(B147&lt;=0,0,B147*Assumptions!$B$6/12)</f>
        <v/>
      </c>
      <c r="E147" s="15">
        <f>IF(B147&lt;=0,0,C147-D147)</f>
        <v/>
      </c>
      <c r="F147" s="15">
        <f>IF(B147&lt;=0,0,B147-E147)</f>
        <v/>
      </c>
      <c r="G147" s="15">
        <f>IF(B147&lt;=0,G146,G146+D147)</f>
        <v/>
      </c>
    </row>
    <row r="148">
      <c r="A148" t="n">
        <v>145</v>
      </c>
      <c r="B148" s="15">
        <f>IF(F147&lt;=0,0,F147)</f>
        <v/>
      </c>
      <c r="C148" s="15">
        <f>IF(B148&lt;=0,0,MIN(Assumptions!$B$14,B148+D148))</f>
        <v/>
      </c>
      <c r="D148" s="15">
        <f>IF(B148&lt;=0,0,B148*Assumptions!$B$6/12)</f>
        <v/>
      </c>
      <c r="E148" s="15">
        <f>IF(B148&lt;=0,0,C148-D148)</f>
        <v/>
      </c>
      <c r="F148" s="15">
        <f>IF(B148&lt;=0,0,B148-E148)</f>
        <v/>
      </c>
      <c r="G148" s="15">
        <f>IF(B148&lt;=0,G147,G147+D148)</f>
        <v/>
      </c>
    </row>
    <row r="149">
      <c r="A149" t="n">
        <v>146</v>
      </c>
      <c r="B149" s="15">
        <f>IF(F148&lt;=0,0,F148)</f>
        <v/>
      </c>
      <c r="C149" s="15">
        <f>IF(B149&lt;=0,0,MIN(Assumptions!$B$14,B149+D149))</f>
        <v/>
      </c>
      <c r="D149" s="15">
        <f>IF(B149&lt;=0,0,B149*Assumptions!$B$6/12)</f>
        <v/>
      </c>
      <c r="E149" s="15">
        <f>IF(B149&lt;=0,0,C149-D149)</f>
        <v/>
      </c>
      <c r="F149" s="15">
        <f>IF(B149&lt;=0,0,B149-E149)</f>
        <v/>
      </c>
      <c r="G149" s="15">
        <f>IF(B149&lt;=0,G148,G148+D149)</f>
        <v/>
      </c>
    </row>
    <row r="150">
      <c r="A150" t="n">
        <v>147</v>
      </c>
      <c r="B150" s="15">
        <f>IF(F149&lt;=0,0,F149)</f>
        <v/>
      </c>
      <c r="C150" s="15">
        <f>IF(B150&lt;=0,0,MIN(Assumptions!$B$14,B150+D150))</f>
        <v/>
      </c>
      <c r="D150" s="15">
        <f>IF(B150&lt;=0,0,B150*Assumptions!$B$6/12)</f>
        <v/>
      </c>
      <c r="E150" s="15">
        <f>IF(B150&lt;=0,0,C150-D150)</f>
        <v/>
      </c>
      <c r="F150" s="15">
        <f>IF(B150&lt;=0,0,B150-E150)</f>
        <v/>
      </c>
      <c r="G150" s="15">
        <f>IF(B150&lt;=0,G149,G149+D150)</f>
        <v/>
      </c>
    </row>
    <row r="151">
      <c r="A151" t="n">
        <v>148</v>
      </c>
      <c r="B151" s="15">
        <f>IF(F150&lt;=0,0,F150)</f>
        <v/>
      </c>
      <c r="C151" s="15">
        <f>IF(B151&lt;=0,0,MIN(Assumptions!$B$14,B151+D151))</f>
        <v/>
      </c>
      <c r="D151" s="15">
        <f>IF(B151&lt;=0,0,B151*Assumptions!$B$6/12)</f>
        <v/>
      </c>
      <c r="E151" s="15">
        <f>IF(B151&lt;=0,0,C151-D151)</f>
        <v/>
      </c>
      <c r="F151" s="15">
        <f>IF(B151&lt;=0,0,B151-E151)</f>
        <v/>
      </c>
      <c r="G151" s="15">
        <f>IF(B151&lt;=0,G150,G150+D151)</f>
        <v/>
      </c>
    </row>
    <row r="152">
      <c r="A152" t="n">
        <v>149</v>
      </c>
      <c r="B152" s="15">
        <f>IF(F151&lt;=0,0,F151)</f>
        <v/>
      </c>
      <c r="C152" s="15">
        <f>IF(B152&lt;=0,0,MIN(Assumptions!$B$14,B152+D152))</f>
        <v/>
      </c>
      <c r="D152" s="15">
        <f>IF(B152&lt;=0,0,B152*Assumptions!$B$6/12)</f>
        <v/>
      </c>
      <c r="E152" s="15">
        <f>IF(B152&lt;=0,0,C152-D152)</f>
        <v/>
      </c>
      <c r="F152" s="15">
        <f>IF(B152&lt;=0,0,B152-E152)</f>
        <v/>
      </c>
      <c r="G152" s="15">
        <f>IF(B152&lt;=0,G151,G151+D152)</f>
        <v/>
      </c>
    </row>
    <row r="153">
      <c r="A153" t="n">
        <v>150</v>
      </c>
      <c r="B153" s="15">
        <f>IF(F152&lt;=0,0,F152)</f>
        <v/>
      </c>
      <c r="C153" s="15">
        <f>IF(B153&lt;=0,0,MIN(Assumptions!$B$14,B153+D153))</f>
        <v/>
      </c>
      <c r="D153" s="15">
        <f>IF(B153&lt;=0,0,B153*Assumptions!$B$6/12)</f>
        <v/>
      </c>
      <c r="E153" s="15">
        <f>IF(B153&lt;=0,0,C153-D153)</f>
        <v/>
      </c>
      <c r="F153" s="15">
        <f>IF(B153&lt;=0,0,B153-E153)</f>
        <v/>
      </c>
      <c r="G153" s="15">
        <f>IF(B153&lt;=0,G152,G152+D153)</f>
        <v/>
      </c>
    </row>
    <row r="154">
      <c r="A154" t="n">
        <v>151</v>
      </c>
      <c r="B154" s="15">
        <f>IF(F153&lt;=0,0,F153)</f>
        <v/>
      </c>
      <c r="C154" s="15">
        <f>IF(B154&lt;=0,0,MIN(Assumptions!$B$14,B154+D154))</f>
        <v/>
      </c>
      <c r="D154" s="15">
        <f>IF(B154&lt;=0,0,B154*Assumptions!$B$6/12)</f>
        <v/>
      </c>
      <c r="E154" s="15">
        <f>IF(B154&lt;=0,0,C154-D154)</f>
        <v/>
      </c>
      <c r="F154" s="15">
        <f>IF(B154&lt;=0,0,B154-E154)</f>
        <v/>
      </c>
      <c r="G154" s="15">
        <f>IF(B154&lt;=0,G153,G153+D154)</f>
        <v/>
      </c>
    </row>
    <row r="155">
      <c r="A155" t="n">
        <v>152</v>
      </c>
      <c r="B155" s="15">
        <f>IF(F154&lt;=0,0,F154)</f>
        <v/>
      </c>
      <c r="C155" s="15">
        <f>IF(B155&lt;=0,0,MIN(Assumptions!$B$14,B155+D155))</f>
        <v/>
      </c>
      <c r="D155" s="15">
        <f>IF(B155&lt;=0,0,B155*Assumptions!$B$6/12)</f>
        <v/>
      </c>
      <c r="E155" s="15">
        <f>IF(B155&lt;=0,0,C155-D155)</f>
        <v/>
      </c>
      <c r="F155" s="15">
        <f>IF(B155&lt;=0,0,B155-E155)</f>
        <v/>
      </c>
      <c r="G155" s="15">
        <f>IF(B155&lt;=0,G154,G154+D155)</f>
        <v/>
      </c>
    </row>
    <row r="156">
      <c r="A156" t="n">
        <v>153</v>
      </c>
      <c r="B156" s="15">
        <f>IF(F155&lt;=0,0,F155)</f>
        <v/>
      </c>
      <c r="C156" s="15">
        <f>IF(B156&lt;=0,0,MIN(Assumptions!$B$14,B156+D156))</f>
        <v/>
      </c>
      <c r="D156" s="15">
        <f>IF(B156&lt;=0,0,B156*Assumptions!$B$6/12)</f>
        <v/>
      </c>
      <c r="E156" s="15">
        <f>IF(B156&lt;=0,0,C156-D156)</f>
        <v/>
      </c>
      <c r="F156" s="15">
        <f>IF(B156&lt;=0,0,B156-E156)</f>
        <v/>
      </c>
      <c r="G156" s="15">
        <f>IF(B156&lt;=0,G155,G155+D156)</f>
        <v/>
      </c>
    </row>
    <row r="157">
      <c r="A157" t="n">
        <v>154</v>
      </c>
      <c r="B157" s="15">
        <f>IF(F156&lt;=0,0,F156)</f>
        <v/>
      </c>
      <c r="C157" s="15">
        <f>IF(B157&lt;=0,0,MIN(Assumptions!$B$14,B157+D157))</f>
        <v/>
      </c>
      <c r="D157" s="15">
        <f>IF(B157&lt;=0,0,B157*Assumptions!$B$6/12)</f>
        <v/>
      </c>
      <c r="E157" s="15">
        <f>IF(B157&lt;=0,0,C157-D157)</f>
        <v/>
      </c>
      <c r="F157" s="15">
        <f>IF(B157&lt;=0,0,B157-E157)</f>
        <v/>
      </c>
      <c r="G157" s="15">
        <f>IF(B157&lt;=0,G156,G156+D157)</f>
        <v/>
      </c>
    </row>
    <row r="158">
      <c r="A158" t="n">
        <v>155</v>
      </c>
      <c r="B158" s="15">
        <f>IF(F157&lt;=0,0,F157)</f>
        <v/>
      </c>
      <c r="C158" s="15">
        <f>IF(B158&lt;=0,0,MIN(Assumptions!$B$14,B158+D158))</f>
        <v/>
      </c>
      <c r="D158" s="15">
        <f>IF(B158&lt;=0,0,B158*Assumptions!$B$6/12)</f>
        <v/>
      </c>
      <c r="E158" s="15">
        <f>IF(B158&lt;=0,0,C158-D158)</f>
        <v/>
      </c>
      <c r="F158" s="15">
        <f>IF(B158&lt;=0,0,B158-E158)</f>
        <v/>
      </c>
      <c r="G158" s="15">
        <f>IF(B158&lt;=0,G157,G157+D158)</f>
        <v/>
      </c>
    </row>
    <row r="159">
      <c r="A159" t="n">
        <v>156</v>
      </c>
      <c r="B159" s="15">
        <f>IF(F158&lt;=0,0,F158)</f>
        <v/>
      </c>
      <c r="C159" s="15">
        <f>IF(B159&lt;=0,0,MIN(Assumptions!$B$14,B159+D159))</f>
        <v/>
      </c>
      <c r="D159" s="15">
        <f>IF(B159&lt;=0,0,B159*Assumptions!$B$6/12)</f>
        <v/>
      </c>
      <c r="E159" s="15">
        <f>IF(B159&lt;=0,0,C159-D159)</f>
        <v/>
      </c>
      <c r="F159" s="15">
        <f>IF(B159&lt;=0,0,B159-E159)</f>
        <v/>
      </c>
      <c r="G159" s="15">
        <f>IF(B159&lt;=0,G158,G158+D159)</f>
        <v/>
      </c>
    </row>
    <row r="160">
      <c r="A160" t="n">
        <v>157</v>
      </c>
      <c r="B160" s="15">
        <f>IF(F159&lt;=0,0,F159)</f>
        <v/>
      </c>
      <c r="C160" s="15">
        <f>IF(B160&lt;=0,0,MIN(Assumptions!$B$14,B160+D160))</f>
        <v/>
      </c>
      <c r="D160" s="15">
        <f>IF(B160&lt;=0,0,B160*Assumptions!$B$6/12)</f>
        <v/>
      </c>
      <c r="E160" s="15">
        <f>IF(B160&lt;=0,0,C160-D160)</f>
        <v/>
      </c>
      <c r="F160" s="15">
        <f>IF(B160&lt;=0,0,B160-E160)</f>
        <v/>
      </c>
      <c r="G160" s="15">
        <f>IF(B160&lt;=0,G159,G159+D160)</f>
        <v/>
      </c>
    </row>
    <row r="161">
      <c r="A161" t="n">
        <v>158</v>
      </c>
      <c r="B161" s="15">
        <f>IF(F160&lt;=0,0,F160)</f>
        <v/>
      </c>
      <c r="C161" s="15">
        <f>IF(B161&lt;=0,0,MIN(Assumptions!$B$14,B161+D161))</f>
        <v/>
      </c>
      <c r="D161" s="15">
        <f>IF(B161&lt;=0,0,B161*Assumptions!$B$6/12)</f>
        <v/>
      </c>
      <c r="E161" s="15">
        <f>IF(B161&lt;=0,0,C161-D161)</f>
        <v/>
      </c>
      <c r="F161" s="15">
        <f>IF(B161&lt;=0,0,B161-E161)</f>
        <v/>
      </c>
      <c r="G161" s="15">
        <f>IF(B161&lt;=0,G160,G160+D161)</f>
        <v/>
      </c>
    </row>
    <row r="162">
      <c r="A162" t="n">
        <v>159</v>
      </c>
      <c r="B162" s="15">
        <f>IF(F161&lt;=0,0,F161)</f>
        <v/>
      </c>
      <c r="C162" s="15">
        <f>IF(B162&lt;=0,0,MIN(Assumptions!$B$14,B162+D162))</f>
        <v/>
      </c>
      <c r="D162" s="15">
        <f>IF(B162&lt;=0,0,B162*Assumptions!$B$6/12)</f>
        <v/>
      </c>
      <c r="E162" s="15">
        <f>IF(B162&lt;=0,0,C162-D162)</f>
        <v/>
      </c>
      <c r="F162" s="15">
        <f>IF(B162&lt;=0,0,B162-E162)</f>
        <v/>
      </c>
      <c r="G162" s="15">
        <f>IF(B162&lt;=0,G161,G161+D162)</f>
        <v/>
      </c>
    </row>
    <row r="163">
      <c r="A163" t="n">
        <v>160</v>
      </c>
      <c r="B163" s="15">
        <f>IF(F162&lt;=0,0,F162)</f>
        <v/>
      </c>
      <c r="C163" s="15">
        <f>IF(B163&lt;=0,0,MIN(Assumptions!$B$14,B163+D163))</f>
        <v/>
      </c>
      <c r="D163" s="15">
        <f>IF(B163&lt;=0,0,B163*Assumptions!$B$6/12)</f>
        <v/>
      </c>
      <c r="E163" s="15">
        <f>IF(B163&lt;=0,0,C163-D163)</f>
        <v/>
      </c>
      <c r="F163" s="15">
        <f>IF(B163&lt;=0,0,B163-E163)</f>
        <v/>
      </c>
      <c r="G163" s="15">
        <f>IF(B163&lt;=0,G162,G162+D163)</f>
        <v/>
      </c>
    </row>
    <row r="164">
      <c r="A164" t="n">
        <v>161</v>
      </c>
      <c r="B164" s="15">
        <f>IF(F163&lt;=0,0,F163)</f>
        <v/>
      </c>
      <c r="C164" s="15">
        <f>IF(B164&lt;=0,0,MIN(Assumptions!$B$14,B164+D164))</f>
        <v/>
      </c>
      <c r="D164" s="15">
        <f>IF(B164&lt;=0,0,B164*Assumptions!$B$6/12)</f>
        <v/>
      </c>
      <c r="E164" s="15">
        <f>IF(B164&lt;=0,0,C164-D164)</f>
        <v/>
      </c>
      <c r="F164" s="15">
        <f>IF(B164&lt;=0,0,B164-E164)</f>
        <v/>
      </c>
      <c r="G164" s="15">
        <f>IF(B164&lt;=0,G163,G163+D164)</f>
        <v/>
      </c>
    </row>
    <row r="165">
      <c r="A165" t="n">
        <v>162</v>
      </c>
      <c r="B165" s="15">
        <f>IF(F164&lt;=0,0,F164)</f>
        <v/>
      </c>
      <c r="C165" s="15">
        <f>IF(B165&lt;=0,0,MIN(Assumptions!$B$14,B165+D165))</f>
        <v/>
      </c>
      <c r="D165" s="15">
        <f>IF(B165&lt;=0,0,B165*Assumptions!$B$6/12)</f>
        <v/>
      </c>
      <c r="E165" s="15">
        <f>IF(B165&lt;=0,0,C165-D165)</f>
        <v/>
      </c>
      <c r="F165" s="15">
        <f>IF(B165&lt;=0,0,B165-E165)</f>
        <v/>
      </c>
      <c r="G165" s="15">
        <f>IF(B165&lt;=0,G164,G164+D165)</f>
        <v/>
      </c>
    </row>
    <row r="166">
      <c r="A166" t="n">
        <v>163</v>
      </c>
      <c r="B166" s="15">
        <f>IF(F165&lt;=0,0,F165)</f>
        <v/>
      </c>
      <c r="C166" s="15">
        <f>IF(B166&lt;=0,0,MIN(Assumptions!$B$14,B166+D166))</f>
        <v/>
      </c>
      <c r="D166" s="15">
        <f>IF(B166&lt;=0,0,B166*Assumptions!$B$6/12)</f>
        <v/>
      </c>
      <c r="E166" s="15">
        <f>IF(B166&lt;=0,0,C166-D166)</f>
        <v/>
      </c>
      <c r="F166" s="15">
        <f>IF(B166&lt;=0,0,B166-E166)</f>
        <v/>
      </c>
      <c r="G166" s="15">
        <f>IF(B166&lt;=0,G165,G165+D166)</f>
        <v/>
      </c>
    </row>
    <row r="167">
      <c r="A167" t="n">
        <v>164</v>
      </c>
      <c r="B167" s="15">
        <f>IF(F166&lt;=0,0,F166)</f>
        <v/>
      </c>
      <c r="C167" s="15">
        <f>IF(B167&lt;=0,0,MIN(Assumptions!$B$14,B167+D167))</f>
        <v/>
      </c>
      <c r="D167" s="15">
        <f>IF(B167&lt;=0,0,B167*Assumptions!$B$6/12)</f>
        <v/>
      </c>
      <c r="E167" s="15">
        <f>IF(B167&lt;=0,0,C167-D167)</f>
        <v/>
      </c>
      <c r="F167" s="15">
        <f>IF(B167&lt;=0,0,B167-E167)</f>
        <v/>
      </c>
      <c r="G167" s="15">
        <f>IF(B167&lt;=0,G166,G166+D167)</f>
        <v/>
      </c>
    </row>
    <row r="168">
      <c r="A168" t="n">
        <v>165</v>
      </c>
      <c r="B168" s="15">
        <f>IF(F167&lt;=0,0,F167)</f>
        <v/>
      </c>
      <c r="C168" s="15">
        <f>IF(B168&lt;=0,0,MIN(Assumptions!$B$14,B168+D168))</f>
        <v/>
      </c>
      <c r="D168" s="15">
        <f>IF(B168&lt;=0,0,B168*Assumptions!$B$6/12)</f>
        <v/>
      </c>
      <c r="E168" s="15">
        <f>IF(B168&lt;=0,0,C168-D168)</f>
        <v/>
      </c>
      <c r="F168" s="15">
        <f>IF(B168&lt;=0,0,B168-E168)</f>
        <v/>
      </c>
      <c r="G168" s="15">
        <f>IF(B168&lt;=0,G167,G167+D168)</f>
        <v/>
      </c>
    </row>
    <row r="169">
      <c r="A169" t="n">
        <v>166</v>
      </c>
      <c r="B169" s="15">
        <f>IF(F168&lt;=0,0,F168)</f>
        <v/>
      </c>
      <c r="C169" s="15">
        <f>IF(B169&lt;=0,0,MIN(Assumptions!$B$14,B169+D169))</f>
        <v/>
      </c>
      <c r="D169" s="15">
        <f>IF(B169&lt;=0,0,B169*Assumptions!$B$6/12)</f>
        <v/>
      </c>
      <c r="E169" s="15">
        <f>IF(B169&lt;=0,0,C169-D169)</f>
        <v/>
      </c>
      <c r="F169" s="15">
        <f>IF(B169&lt;=0,0,B169-E169)</f>
        <v/>
      </c>
      <c r="G169" s="15">
        <f>IF(B169&lt;=0,G168,G168+D169)</f>
        <v/>
      </c>
    </row>
    <row r="170">
      <c r="A170" t="n">
        <v>167</v>
      </c>
      <c r="B170" s="15">
        <f>IF(F169&lt;=0,0,F169)</f>
        <v/>
      </c>
      <c r="C170" s="15">
        <f>IF(B170&lt;=0,0,MIN(Assumptions!$B$14,B170+D170))</f>
        <v/>
      </c>
      <c r="D170" s="15">
        <f>IF(B170&lt;=0,0,B170*Assumptions!$B$6/12)</f>
        <v/>
      </c>
      <c r="E170" s="15">
        <f>IF(B170&lt;=0,0,C170-D170)</f>
        <v/>
      </c>
      <c r="F170" s="15">
        <f>IF(B170&lt;=0,0,B170-E170)</f>
        <v/>
      </c>
      <c r="G170" s="15">
        <f>IF(B170&lt;=0,G169,G169+D170)</f>
        <v/>
      </c>
    </row>
    <row r="171">
      <c r="A171" t="n">
        <v>168</v>
      </c>
      <c r="B171" s="15">
        <f>IF(F170&lt;=0,0,F170)</f>
        <v/>
      </c>
      <c r="C171" s="15">
        <f>IF(B171&lt;=0,0,MIN(Assumptions!$B$14,B171+D171))</f>
        <v/>
      </c>
      <c r="D171" s="15">
        <f>IF(B171&lt;=0,0,B171*Assumptions!$B$6/12)</f>
        <v/>
      </c>
      <c r="E171" s="15">
        <f>IF(B171&lt;=0,0,C171-D171)</f>
        <v/>
      </c>
      <c r="F171" s="15">
        <f>IF(B171&lt;=0,0,B171-E171)</f>
        <v/>
      </c>
      <c r="G171" s="15">
        <f>IF(B171&lt;=0,G170,G170+D171)</f>
        <v/>
      </c>
    </row>
    <row r="172">
      <c r="A172" t="n">
        <v>169</v>
      </c>
      <c r="B172" s="15">
        <f>IF(F171&lt;=0,0,F171)</f>
        <v/>
      </c>
      <c r="C172" s="15">
        <f>IF(B172&lt;=0,0,MIN(Assumptions!$B$14,B172+D172))</f>
        <v/>
      </c>
      <c r="D172" s="15">
        <f>IF(B172&lt;=0,0,B172*Assumptions!$B$6/12)</f>
        <v/>
      </c>
      <c r="E172" s="15">
        <f>IF(B172&lt;=0,0,C172-D172)</f>
        <v/>
      </c>
      <c r="F172" s="15">
        <f>IF(B172&lt;=0,0,B172-E172)</f>
        <v/>
      </c>
      <c r="G172" s="15">
        <f>IF(B172&lt;=0,G171,G171+D172)</f>
        <v/>
      </c>
    </row>
    <row r="173">
      <c r="A173" t="n">
        <v>170</v>
      </c>
      <c r="B173" s="15">
        <f>IF(F172&lt;=0,0,F172)</f>
        <v/>
      </c>
      <c r="C173" s="15">
        <f>IF(B173&lt;=0,0,MIN(Assumptions!$B$14,B173+D173))</f>
        <v/>
      </c>
      <c r="D173" s="15">
        <f>IF(B173&lt;=0,0,B173*Assumptions!$B$6/12)</f>
        <v/>
      </c>
      <c r="E173" s="15">
        <f>IF(B173&lt;=0,0,C173-D173)</f>
        <v/>
      </c>
      <c r="F173" s="15">
        <f>IF(B173&lt;=0,0,B173-E173)</f>
        <v/>
      </c>
      <c r="G173" s="15">
        <f>IF(B173&lt;=0,G172,G172+D173)</f>
        <v/>
      </c>
    </row>
    <row r="174">
      <c r="A174" t="n">
        <v>171</v>
      </c>
      <c r="B174" s="15">
        <f>IF(F173&lt;=0,0,F173)</f>
        <v/>
      </c>
      <c r="C174" s="15">
        <f>IF(B174&lt;=0,0,MIN(Assumptions!$B$14,B174+D174))</f>
        <v/>
      </c>
      <c r="D174" s="15">
        <f>IF(B174&lt;=0,0,B174*Assumptions!$B$6/12)</f>
        <v/>
      </c>
      <c r="E174" s="15">
        <f>IF(B174&lt;=0,0,C174-D174)</f>
        <v/>
      </c>
      <c r="F174" s="15">
        <f>IF(B174&lt;=0,0,B174-E174)</f>
        <v/>
      </c>
      <c r="G174" s="15">
        <f>IF(B174&lt;=0,G173,G173+D174)</f>
        <v/>
      </c>
    </row>
    <row r="175">
      <c r="A175" t="n">
        <v>172</v>
      </c>
      <c r="B175" s="15">
        <f>IF(F174&lt;=0,0,F174)</f>
        <v/>
      </c>
      <c r="C175" s="15">
        <f>IF(B175&lt;=0,0,MIN(Assumptions!$B$14,B175+D175))</f>
        <v/>
      </c>
      <c r="D175" s="15">
        <f>IF(B175&lt;=0,0,B175*Assumptions!$B$6/12)</f>
        <v/>
      </c>
      <c r="E175" s="15">
        <f>IF(B175&lt;=0,0,C175-D175)</f>
        <v/>
      </c>
      <c r="F175" s="15">
        <f>IF(B175&lt;=0,0,B175-E175)</f>
        <v/>
      </c>
      <c r="G175" s="15">
        <f>IF(B175&lt;=0,G174,G174+D175)</f>
        <v/>
      </c>
    </row>
    <row r="176">
      <c r="A176" t="n">
        <v>173</v>
      </c>
      <c r="B176" s="15">
        <f>IF(F175&lt;=0,0,F175)</f>
        <v/>
      </c>
      <c r="C176" s="15">
        <f>IF(B176&lt;=0,0,MIN(Assumptions!$B$14,B176+D176))</f>
        <v/>
      </c>
      <c r="D176" s="15">
        <f>IF(B176&lt;=0,0,B176*Assumptions!$B$6/12)</f>
        <v/>
      </c>
      <c r="E176" s="15">
        <f>IF(B176&lt;=0,0,C176-D176)</f>
        <v/>
      </c>
      <c r="F176" s="15">
        <f>IF(B176&lt;=0,0,B176-E176)</f>
        <v/>
      </c>
      <c r="G176" s="15">
        <f>IF(B176&lt;=0,G175,G175+D176)</f>
        <v/>
      </c>
    </row>
    <row r="177">
      <c r="A177" t="n">
        <v>174</v>
      </c>
      <c r="B177" s="15">
        <f>IF(F176&lt;=0,0,F176)</f>
        <v/>
      </c>
      <c r="C177" s="15">
        <f>IF(B177&lt;=0,0,MIN(Assumptions!$B$14,B177+D177))</f>
        <v/>
      </c>
      <c r="D177" s="15">
        <f>IF(B177&lt;=0,0,B177*Assumptions!$B$6/12)</f>
        <v/>
      </c>
      <c r="E177" s="15">
        <f>IF(B177&lt;=0,0,C177-D177)</f>
        <v/>
      </c>
      <c r="F177" s="15">
        <f>IF(B177&lt;=0,0,B177-E177)</f>
        <v/>
      </c>
      <c r="G177" s="15">
        <f>IF(B177&lt;=0,G176,G176+D177)</f>
        <v/>
      </c>
    </row>
    <row r="178">
      <c r="A178" t="n">
        <v>175</v>
      </c>
      <c r="B178" s="15">
        <f>IF(F177&lt;=0,0,F177)</f>
        <v/>
      </c>
      <c r="C178" s="15">
        <f>IF(B178&lt;=0,0,MIN(Assumptions!$B$14,B178+D178))</f>
        <v/>
      </c>
      <c r="D178" s="15">
        <f>IF(B178&lt;=0,0,B178*Assumptions!$B$6/12)</f>
        <v/>
      </c>
      <c r="E178" s="15">
        <f>IF(B178&lt;=0,0,C178-D178)</f>
        <v/>
      </c>
      <c r="F178" s="15">
        <f>IF(B178&lt;=0,0,B178-E178)</f>
        <v/>
      </c>
      <c r="G178" s="15">
        <f>IF(B178&lt;=0,G177,G177+D178)</f>
        <v/>
      </c>
    </row>
    <row r="179">
      <c r="A179" t="n">
        <v>176</v>
      </c>
      <c r="B179" s="15">
        <f>IF(F178&lt;=0,0,F178)</f>
        <v/>
      </c>
      <c r="C179" s="15">
        <f>IF(B179&lt;=0,0,MIN(Assumptions!$B$14,B179+D179))</f>
        <v/>
      </c>
      <c r="D179" s="15">
        <f>IF(B179&lt;=0,0,B179*Assumptions!$B$6/12)</f>
        <v/>
      </c>
      <c r="E179" s="15">
        <f>IF(B179&lt;=0,0,C179-D179)</f>
        <v/>
      </c>
      <c r="F179" s="15">
        <f>IF(B179&lt;=0,0,B179-E179)</f>
        <v/>
      </c>
      <c r="G179" s="15">
        <f>IF(B179&lt;=0,G178,G178+D179)</f>
        <v/>
      </c>
    </row>
    <row r="180">
      <c r="A180" t="n">
        <v>177</v>
      </c>
      <c r="B180" s="15">
        <f>IF(F179&lt;=0,0,F179)</f>
        <v/>
      </c>
      <c r="C180" s="15">
        <f>IF(B180&lt;=0,0,MIN(Assumptions!$B$14,B180+D180))</f>
        <v/>
      </c>
      <c r="D180" s="15">
        <f>IF(B180&lt;=0,0,B180*Assumptions!$B$6/12)</f>
        <v/>
      </c>
      <c r="E180" s="15">
        <f>IF(B180&lt;=0,0,C180-D180)</f>
        <v/>
      </c>
      <c r="F180" s="15">
        <f>IF(B180&lt;=0,0,B180-E180)</f>
        <v/>
      </c>
      <c r="G180" s="15">
        <f>IF(B180&lt;=0,G179,G179+D180)</f>
        <v/>
      </c>
    </row>
    <row r="181">
      <c r="A181" t="n">
        <v>178</v>
      </c>
      <c r="B181" s="15">
        <f>IF(F180&lt;=0,0,F180)</f>
        <v/>
      </c>
      <c r="C181" s="15">
        <f>IF(B181&lt;=0,0,MIN(Assumptions!$B$14,B181+D181))</f>
        <v/>
      </c>
      <c r="D181" s="15">
        <f>IF(B181&lt;=0,0,B181*Assumptions!$B$6/12)</f>
        <v/>
      </c>
      <c r="E181" s="15">
        <f>IF(B181&lt;=0,0,C181-D181)</f>
        <v/>
      </c>
      <c r="F181" s="15">
        <f>IF(B181&lt;=0,0,B181-E181)</f>
        <v/>
      </c>
      <c r="G181" s="15">
        <f>IF(B181&lt;=0,G180,G180+D181)</f>
        <v/>
      </c>
    </row>
    <row r="182">
      <c r="A182" t="n">
        <v>179</v>
      </c>
      <c r="B182" s="15">
        <f>IF(F181&lt;=0,0,F181)</f>
        <v/>
      </c>
      <c r="C182" s="15">
        <f>IF(B182&lt;=0,0,MIN(Assumptions!$B$14,B182+D182))</f>
        <v/>
      </c>
      <c r="D182" s="15">
        <f>IF(B182&lt;=0,0,B182*Assumptions!$B$6/12)</f>
        <v/>
      </c>
      <c r="E182" s="15">
        <f>IF(B182&lt;=0,0,C182-D182)</f>
        <v/>
      </c>
      <c r="F182" s="15">
        <f>IF(B182&lt;=0,0,B182-E182)</f>
        <v/>
      </c>
      <c r="G182" s="15">
        <f>IF(B182&lt;=0,G181,G181+D182)</f>
        <v/>
      </c>
    </row>
    <row r="183">
      <c r="A183" t="n">
        <v>180</v>
      </c>
      <c r="B183" s="15">
        <f>IF(F182&lt;=0,0,F182)</f>
        <v/>
      </c>
      <c r="C183" s="15">
        <f>IF(B183&lt;=0,0,MIN(Assumptions!$B$14,B183+D183))</f>
        <v/>
      </c>
      <c r="D183" s="15">
        <f>IF(B183&lt;=0,0,B183*Assumptions!$B$6/12)</f>
        <v/>
      </c>
      <c r="E183" s="15">
        <f>IF(B183&lt;=0,0,C183-D183)</f>
        <v/>
      </c>
      <c r="F183" s="15">
        <f>IF(B183&lt;=0,0,B183-E183)</f>
        <v/>
      </c>
      <c r="G183" s="15">
        <f>IF(B183&lt;=0,G182,G182+D183)</f>
        <v/>
      </c>
    </row>
    <row r="184">
      <c r="A184" t="n">
        <v>181</v>
      </c>
      <c r="B184" s="15">
        <f>IF(F183&lt;=0,0,F183)</f>
        <v/>
      </c>
      <c r="C184" s="15">
        <f>IF(B184&lt;=0,0,MIN(Assumptions!$B$14,B184+D184))</f>
        <v/>
      </c>
      <c r="D184" s="15">
        <f>IF(B184&lt;=0,0,B184*Assumptions!$B$6/12)</f>
        <v/>
      </c>
      <c r="E184" s="15">
        <f>IF(B184&lt;=0,0,C184-D184)</f>
        <v/>
      </c>
      <c r="F184" s="15">
        <f>IF(B184&lt;=0,0,B184-E184)</f>
        <v/>
      </c>
      <c r="G184" s="15">
        <f>IF(B184&lt;=0,G183,G183+D184)</f>
        <v/>
      </c>
    </row>
    <row r="185">
      <c r="A185" t="n">
        <v>182</v>
      </c>
      <c r="B185" s="15">
        <f>IF(F184&lt;=0,0,F184)</f>
        <v/>
      </c>
      <c r="C185" s="15">
        <f>IF(B185&lt;=0,0,MIN(Assumptions!$B$14,B185+D185))</f>
        <v/>
      </c>
      <c r="D185" s="15">
        <f>IF(B185&lt;=0,0,B185*Assumptions!$B$6/12)</f>
        <v/>
      </c>
      <c r="E185" s="15">
        <f>IF(B185&lt;=0,0,C185-D185)</f>
        <v/>
      </c>
      <c r="F185" s="15">
        <f>IF(B185&lt;=0,0,B185-E185)</f>
        <v/>
      </c>
      <c r="G185" s="15">
        <f>IF(B185&lt;=0,G184,G184+D185)</f>
        <v/>
      </c>
    </row>
    <row r="186">
      <c r="A186" t="n">
        <v>183</v>
      </c>
      <c r="B186" s="15">
        <f>IF(F185&lt;=0,0,F185)</f>
        <v/>
      </c>
      <c r="C186" s="15">
        <f>IF(B186&lt;=0,0,MIN(Assumptions!$B$14,B186+D186))</f>
        <v/>
      </c>
      <c r="D186" s="15">
        <f>IF(B186&lt;=0,0,B186*Assumptions!$B$6/12)</f>
        <v/>
      </c>
      <c r="E186" s="15">
        <f>IF(B186&lt;=0,0,C186-D186)</f>
        <v/>
      </c>
      <c r="F186" s="15">
        <f>IF(B186&lt;=0,0,B186-E186)</f>
        <v/>
      </c>
      <c r="G186" s="15">
        <f>IF(B186&lt;=0,G185,G185+D186)</f>
        <v/>
      </c>
    </row>
    <row r="187">
      <c r="A187" t="n">
        <v>184</v>
      </c>
      <c r="B187" s="15">
        <f>IF(F186&lt;=0,0,F186)</f>
        <v/>
      </c>
      <c r="C187" s="15">
        <f>IF(B187&lt;=0,0,MIN(Assumptions!$B$14,B187+D187))</f>
        <v/>
      </c>
      <c r="D187" s="15">
        <f>IF(B187&lt;=0,0,B187*Assumptions!$B$6/12)</f>
        <v/>
      </c>
      <c r="E187" s="15">
        <f>IF(B187&lt;=0,0,C187-D187)</f>
        <v/>
      </c>
      <c r="F187" s="15">
        <f>IF(B187&lt;=0,0,B187-E187)</f>
        <v/>
      </c>
      <c r="G187" s="15">
        <f>IF(B187&lt;=0,G186,G186+D187)</f>
        <v/>
      </c>
    </row>
    <row r="188">
      <c r="A188" t="n">
        <v>185</v>
      </c>
      <c r="B188" s="15">
        <f>IF(F187&lt;=0,0,F187)</f>
        <v/>
      </c>
      <c r="C188" s="15">
        <f>IF(B188&lt;=0,0,MIN(Assumptions!$B$14,B188+D188))</f>
        <v/>
      </c>
      <c r="D188" s="15">
        <f>IF(B188&lt;=0,0,B188*Assumptions!$B$6/12)</f>
        <v/>
      </c>
      <c r="E188" s="15">
        <f>IF(B188&lt;=0,0,C188-D188)</f>
        <v/>
      </c>
      <c r="F188" s="15">
        <f>IF(B188&lt;=0,0,B188-E188)</f>
        <v/>
      </c>
      <c r="G188" s="15">
        <f>IF(B188&lt;=0,G187,G187+D188)</f>
        <v/>
      </c>
    </row>
    <row r="189">
      <c r="A189" t="n">
        <v>186</v>
      </c>
      <c r="B189" s="15">
        <f>IF(F188&lt;=0,0,F188)</f>
        <v/>
      </c>
      <c r="C189" s="15">
        <f>IF(B189&lt;=0,0,MIN(Assumptions!$B$14,B189+D189))</f>
        <v/>
      </c>
      <c r="D189" s="15">
        <f>IF(B189&lt;=0,0,B189*Assumptions!$B$6/12)</f>
        <v/>
      </c>
      <c r="E189" s="15">
        <f>IF(B189&lt;=0,0,C189-D189)</f>
        <v/>
      </c>
      <c r="F189" s="15">
        <f>IF(B189&lt;=0,0,B189-E189)</f>
        <v/>
      </c>
      <c r="G189" s="15">
        <f>IF(B189&lt;=0,G188,G188+D189)</f>
        <v/>
      </c>
    </row>
    <row r="190">
      <c r="A190" t="n">
        <v>187</v>
      </c>
      <c r="B190" s="15">
        <f>IF(F189&lt;=0,0,F189)</f>
        <v/>
      </c>
      <c r="C190" s="15">
        <f>IF(B190&lt;=0,0,MIN(Assumptions!$B$14,B190+D190))</f>
        <v/>
      </c>
      <c r="D190" s="15">
        <f>IF(B190&lt;=0,0,B190*Assumptions!$B$6/12)</f>
        <v/>
      </c>
      <c r="E190" s="15">
        <f>IF(B190&lt;=0,0,C190-D190)</f>
        <v/>
      </c>
      <c r="F190" s="15">
        <f>IF(B190&lt;=0,0,B190-E190)</f>
        <v/>
      </c>
      <c r="G190" s="15">
        <f>IF(B190&lt;=0,G189,G189+D190)</f>
        <v/>
      </c>
    </row>
    <row r="191">
      <c r="A191" t="n">
        <v>188</v>
      </c>
      <c r="B191" s="15">
        <f>IF(F190&lt;=0,0,F190)</f>
        <v/>
      </c>
      <c r="C191" s="15">
        <f>IF(B191&lt;=0,0,MIN(Assumptions!$B$14,B191+D191))</f>
        <v/>
      </c>
      <c r="D191" s="15">
        <f>IF(B191&lt;=0,0,B191*Assumptions!$B$6/12)</f>
        <v/>
      </c>
      <c r="E191" s="15">
        <f>IF(B191&lt;=0,0,C191-D191)</f>
        <v/>
      </c>
      <c r="F191" s="15">
        <f>IF(B191&lt;=0,0,B191-E191)</f>
        <v/>
      </c>
      <c r="G191" s="15">
        <f>IF(B191&lt;=0,G190,G190+D191)</f>
        <v/>
      </c>
    </row>
    <row r="192">
      <c r="A192" t="n">
        <v>189</v>
      </c>
      <c r="B192" s="15">
        <f>IF(F191&lt;=0,0,F191)</f>
        <v/>
      </c>
      <c r="C192" s="15">
        <f>IF(B192&lt;=0,0,MIN(Assumptions!$B$14,B192+D192))</f>
        <v/>
      </c>
      <c r="D192" s="15">
        <f>IF(B192&lt;=0,0,B192*Assumptions!$B$6/12)</f>
        <v/>
      </c>
      <c r="E192" s="15">
        <f>IF(B192&lt;=0,0,C192-D192)</f>
        <v/>
      </c>
      <c r="F192" s="15">
        <f>IF(B192&lt;=0,0,B192-E192)</f>
        <v/>
      </c>
      <c r="G192" s="15">
        <f>IF(B192&lt;=0,G191,G191+D192)</f>
        <v/>
      </c>
    </row>
    <row r="193">
      <c r="A193" t="n">
        <v>190</v>
      </c>
      <c r="B193" s="15">
        <f>IF(F192&lt;=0,0,F192)</f>
        <v/>
      </c>
      <c r="C193" s="15">
        <f>IF(B193&lt;=0,0,MIN(Assumptions!$B$14,B193+D193))</f>
        <v/>
      </c>
      <c r="D193" s="15">
        <f>IF(B193&lt;=0,0,B193*Assumptions!$B$6/12)</f>
        <v/>
      </c>
      <c r="E193" s="15">
        <f>IF(B193&lt;=0,0,C193-D193)</f>
        <v/>
      </c>
      <c r="F193" s="15">
        <f>IF(B193&lt;=0,0,B193-E193)</f>
        <v/>
      </c>
      <c r="G193" s="15">
        <f>IF(B193&lt;=0,G192,G192+D193)</f>
        <v/>
      </c>
    </row>
    <row r="194">
      <c r="A194" t="n">
        <v>191</v>
      </c>
      <c r="B194" s="15">
        <f>IF(F193&lt;=0,0,F193)</f>
        <v/>
      </c>
      <c r="C194" s="15">
        <f>IF(B194&lt;=0,0,MIN(Assumptions!$B$14,B194+D194))</f>
        <v/>
      </c>
      <c r="D194" s="15">
        <f>IF(B194&lt;=0,0,B194*Assumptions!$B$6/12)</f>
        <v/>
      </c>
      <c r="E194" s="15">
        <f>IF(B194&lt;=0,0,C194-D194)</f>
        <v/>
      </c>
      <c r="F194" s="15">
        <f>IF(B194&lt;=0,0,B194-E194)</f>
        <v/>
      </c>
      <c r="G194" s="15">
        <f>IF(B194&lt;=0,G193,G193+D194)</f>
        <v/>
      </c>
    </row>
    <row r="195">
      <c r="A195" t="n">
        <v>192</v>
      </c>
      <c r="B195" s="15">
        <f>IF(F194&lt;=0,0,F194)</f>
        <v/>
      </c>
      <c r="C195" s="15">
        <f>IF(B195&lt;=0,0,MIN(Assumptions!$B$14,B195+D195))</f>
        <v/>
      </c>
      <c r="D195" s="15">
        <f>IF(B195&lt;=0,0,B195*Assumptions!$B$6/12)</f>
        <v/>
      </c>
      <c r="E195" s="15">
        <f>IF(B195&lt;=0,0,C195-D195)</f>
        <v/>
      </c>
      <c r="F195" s="15">
        <f>IF(B195&lt;=0,0,B195-E195)</f>
        <v/>
      </c>
      <c r="G195" s="15">
        <f>IF(B195&lt;=0,G194,G194+D195)</f>
        <v/>
      </c>
    </row>
    <row r="196">
      <c r="A196" t="n">
        <v>193</v>
      </c>
      <c r="B196" s="15">
        <f>IF(F195&lt;=0,0,F195)</f>
        <v/>
      </c>
      <c r="C196" s="15">
        <f>IF(B196&lt;=0,0,MIN(Assumptions!$B$14,B196+D196))</f>
        <v/>
      </c>
      <c r="D196" s="15">
        <f>IF(B196&lt;=0,0,B196*Assumptions!$B$6/12)</f>
        <v/>
      </c>
      <c r="E196" s="15">
        <f>IF(B196&lt;=0,0,C196-D196)</f>
        <v/>
      </c>
      <c r="F196" s="15">
        <f>IF(B196&lt;=0,0,B196-E196)</f>
        <v/>
      </c>
      <c r="G196" s="15">
        <f>IF(B196&lt;=0,G195,G195+D196)</f>
        <v/>
      </c>
    </row>
    <row r="197">
      <c r="A197" t="n">
        <v>194</v>
      </c>
      <c r="B197" s="15">
        <f>IF(F196&lt;=0,0,F196)</f>
        <v/>
      </c>
      <c r="C197" s="15">
        <f>IF(B197&lt;=0,0,MIN(Assumptions!$B$14,B197+D197))</f>
        <v/>
      </c>
      <c r="D197" s="15">
        <f>IF(B197&lt;=0,0,B197*Assumptions!$B$6/12)</f>
        <v/>
      </c>
      <c r="E197" s="15">
        <f>IF(B197&lt;=0,0,C197-D197)</f>
        <v/>
      </c>
      <c r="F197" s="15">
        <f>IF(B197&lt;=0,0,B197-E197)</f>
        <v/>
      </c>
      <c r="G197" s="15">
        <f>IF(B197&lt;=0,G196,G196+D197)</f>
        <v/>
      </c>
    </row>
    <row r="198">
      <c r="A198" t="n">
        <v>195</v>
      </c>
      <c r="B198" s="15">
        <f>IF(F197&lt;=0,0,F197)</f>
        <v/>
      </c>
      <c r="C198" s="15">
        <f>IF(B198&lt;=0,0,MIN(Assumptions!$B$14,B198+D198))</f>
        <v/>
      </c>
      <c r="D198" s="15">
        <f>IF(B198&lt;=0,0,B198*Assumptions!$B$6/12)</f>
        <v/>
      </c>
      <c r="E198" s="15">
        <f>IF(B198&lt;=0,0,C198-D198)</f>
        <v/>
      </c>
      <c r="F198" s="15">
        <f>IF(B198&lt;=0,0,B198-E198)</f>
        <v/>
      </c>
      <c r="G198" s="15">
        <f>IF(B198&lt;=0,G197,G197+D198)</f>
        <v/>
      </c>
    </row>
    <row r="199">
      <c r="A199" t="n">
        <v>196</v>
      </c>
      <c r="B199" s="15">
        <f>IF(F198&lt;=0,0,F198)</f>
        <v/>
      </c>
      <c r="C199" s="15">
        <f>IF(B199&lt;=0,0,MIN(Assumptions!$B$14,B199+D199))</f>
        <v/>
      </c>
      <c r="D199" s="15">
        <f>IF(B199&lt;=0,0,B199*Assumptions!$B$6/12)</f>
        <v/>
      </c>
      <c r="E199" s="15">
        <f>IF(B199&lt;=0,0,C199-D199)</f>
        <v/>
      </c>
      <c r="F199" s="15">
        <f>IF(B199&lt;=0,0,B199-E199)</f>
        <v/>
      </c>
      <c r="G199" s="15">
        <f>IF(B199&lt;=0,G198,G198+D199)</f>
        <v/>
      </c>
    </row>
    <row r="200">
      <c r="A200" t="n">
        <v>197</v>
      </c>
      <c r="B200" s="15">
        <f>IF(F199&lt;=0,0,F199)</f>
        <v/>
      </c>
      <c r="C200" s="15">
        <f>IF(B200&lt;=0,0,MIN(Assumptions!$B$14,B200+D200))</f>
        <v/>
      </c>
      <c r="D200" s="15">
        <f>IF(B200&lt;=0,0,B200*Assumptions!$B$6/12)</f>
        <v/>
      </c>
      <c r="E200" s="15">
        <f>IF(B200&lt;=0,0,C200-D200)</f>
        <v/>
      </c>
      <c r="F200" s="15">
        <f>IF(B200&lt;=0,0,B200-E200)</f>
        <v/>
      </c>
      <c r="G200" s="15">
        <f>IF(B200&lt;=0,G199,G199+D200)</f>
        <v/>
      </c>
    </row>
    <row r="201">
      <c r="A201" t="n">
        <v>198</v>
      </c>
      <c r="B201" s="15">
        <f>IF(F200&lt;=0,0,F200)</f>
        <v/>
      </c>
      <c r="C201" s="15">
        <f>IF(B201&lt;=0,0,MIN(Assumptions!$B$14,B201+D201))</f>
        <v/>
      </c>
      <c r="D201" s="15">
        <f>IF(B201&lt;=0,0,B201*Assumptions!$B$6/12)</f>
        <v/>
      </c>
      <c r="E201" s="15">
        <f>IF(B201&lt;=0,0,C201-D201)</f>
        <v/>
      </c>
      <c r="F201" s="15">
        <f>IF(B201&lt;=0,0,B201-E201)</f>
        <v/>
      </c>
      <c r="G201" s="15">
        <f>IF(B201&lt;=0,G200,G200+D201)</f>
        <v/>
      </c>
    </row>
    <row r="202">
      <c r="A202" t="n">
        <v>199</v>
      </c>
      <c r="B202" s="15">
        <f>IF(F201&lt;=0,0,F201)</f>
        <v/>
      </c>
      <c r="C202" s="15">
        <f>IF(B202&lt;=0,0,MIN(Assumptions!$B$14,B202+D202))</f>
        <v/>
      </c>
      <c r="D202" s="15">
        <f>IF(B202&lt;=0,0,B202*Assumptions!$B$6/12)</f>
        <v/>
      </c>
      <c r="E202" s="15">
        <f>IF(B202&lt;=0,0,C202-D202)</f>
        <v/>
      </c>
      <c r="F202" s="15">
        <f>IF(B202&lt;=0,0,B202-E202)</f>
        <v/>
      </c>
      <c r="G202" s="15">
        <f>IF(B202&lt;=0,G201,G201+D202)</f>
        <v/>
      </c>
    </row>
    <row r="203">
      <c r="A203" t="n">
        <v>200</v>
      </c>
      <c r="B203" s="15">
        <f>IF(F202&lt;=0,0,F202)</f>
        <v/>
      </c>
      <c r="C203" s="15">
        <f>IF(B203&lt;=0,0,MIN(Assumptions!$B$14,B203+D203))</f>
        <v/>
      </c>
      <c r="D203" s="15">
        <f>IF(B203&lt;=0,0,B203*Assumptions!$B$6/12)</f>
        <v/>
      </c>
      <c r="E203" s="15">
        <f>IF(B203&lt;=0,0,C203-D203)</f>
        <v/>
      </c>
      <c r="F203" s="15">
        <f>IF(B203&lt;=0,0,B203-E203)</f>
        <v/>
      </c>
      <c r="G203" s="15">
        <f>IF(B203&lt;=0,G202,G202+D203)</f>
        <v/>
      </c>
    </row>
    <row r="204">
      <c r="A204" t="n">
        <v>201</v>
      </c>
      <c r="B204" s="15">
        <f>IF(F203&lt;=0,0,F203)</f>
        <v/>
      </c>
      <c r="C204" s="15">
        <f>IF(B204&lt;=0,0,MIN(Assumptions!$B$14,B204+D204))</f>
        <v/>
      </c>
      <c r="D204" s="15">
        <f>IF(B204&lt;=0,0,B204*Assumptions!$B$6/12)</f>
        <v/>
      </c>
      <c r="E204" s="15">
        <f>IF(B204&lt;=0,0,C204-D204)</f>
        <v/>
      </c>
      <c r="F204" s="15">
        <f>IF(B204&lt;=0,0,B204-E204)</f>
        <v/>
      </c>
      <c r="G204" s="15">
        <f>IF(B204&lt;=0,G203,G203+D204)</f>
        <v/>
      </c>
    </row>
    <row r="205">
      <c r="A205" t="n">
        <v>202</v>
      </c>
      <c r="B205" s="15">
        <f>IF(F204&lt;=0,0,F204)</f>
        <v/>
      </c>
      <c r="C205" s="15">
        <f>IF(B205&lt;=0,0,MIN(Assumptions!$B$14,B205+D205))</f>
        <v/>
      </c>
      <c r="D205" s="15">
        <f>IF(B205&lt;=0,0,B205*Assumptions!$B$6/12)</f>
        <v/>
      </c>
      <c r="E205" s="15">
        <f>IF(B205&lt;=0,0,C205-D205)</f>
        <v/>
      </c>
      <c r="F205" s="15">
        <f>IF(B205&lt;=0,0,B205-E205)</f>
        <v/>
      </c>
      <c r="G205" s="15">
        <f>IF(B205&lt;=0,G204,G204+D205)</f>
        <v/>
      </c>
    </row>
    <row r="206">
      <c r="A206" t="n">
        <v>203</v>
      </c>
      <c r="B206" s="15">
        <f>IF(F205&lt;=0,0,F205)</f>
        <v/>
      </c>
      <c r="C206" s="15">
        <f>IF(B206&lt;=0,0,MIN(Assumptions!$B$14,B206+D206))</f>
        <v/>
      </c>
      <c r="D206" s="15">
        <f>IF(B206&lt;=0,0,B206*Assumptions!$B$6/12)</f>
        <v/>
      </c>
      <c r="E206" s="15">
        <f>IF(B206&lt;=0,0,C206-D206)</f>
        <v/>
      </c>
      <c r="F206" s="15">
        <f>IF(B206&lt;=0,0,B206-E206)</f>
        <v/>
      </c>
      <c r="G206" s="15">
        <f>IF(B206&lt;=0,G205,G205+D206)</f>
        <v/>
      </c>
    </row>
    <row r="207">
      <c r="A207" t="n">
        <v>204</v>
      </c>
      <c r="B207" s="15">
        <f>IF(F206&lt;=0,0,F206)</f>
        <v/>
      </c>
      <c r="C207" s="15">
        <f>IF(B207&lt;=0,0,MIN(Assumptions!$B$14,B207+D207))</f>
        <v/>
      </c>
      <c r="D207" s="15">
        <f>IF(B207&lt;=0,0,B207*Assumptions!$B$6/12)</f>
        <v/>
      </c>
      <c r="E207" s="15">
        <f>IF(B207&lt;=0,0,C207-D207)</f>
        <v/>
      </c>
      <c r="F207" s="15">
        <f>IF(B207&lt;=0,0,B207-E207)</f>
        <v/>
      </c>
      <c r="G207" s="15">
        <f>IF(B207&lt;=0,G206,G206+D207)</f>
        <v/>
      </c>
    </row>
    <row r="208">
      <c r="A208" t="n">
        <v>205</v>
      </c>
      <c r="B208" s="15">
        <f>IF(F207&lt;=0,0,F207)</f>
        <v/>
      </c>
      <c r="C208" s="15">
        <f>IF(B208&lt;=0,0,MIN(Assumptions!$B$14,B208+D208))</f>
        <v/>
      </c>
      <c r="D208" s="15">
        <f>IF(B208&lt;=0,0,B208*Assumptions!$B$6/12)</f>
        <v/>
      </c>
      <c r="E208" s="15">
        <f>IF(B208&lt;=0,0,C208-D208)</f>
        <v/>
      </c>
      <c r="F208" s="15">
        <f>IF(B208&lt;=0,0,B208-E208)</f>
        <v/>
      </c>
      <c r="G208" s="15">
        <f>IF(B208&lt;=0,G207,G207+D208)</f>
        <v/>
      </c>
    </row>
    <row r="209">
      <c r="A209" t="n">
        <v>206</v>
      </c>
      <c r="B209" s="15">
        <f>IF(F208&lt;=0,0,F208)</f>
        <v/>
      </c>
      <c r="C209" s="15">
        <f>IF(B209&lt;=0,0,MIN(Assumptions!$B$14,B209+D209))</f>
        <v/>
      </c>
      <c r="D209" s="15">
        <f>IF(B209&lt;=0,0,B209*Assumptions!$B$6/12)</f>
        <v/>
      </c>
      <c r="E209" s="15">
        <f>IF(B209&lt;=0,0,C209-D209)</f>
        <v/>
      </c>
      <c r="F209" s="15">
        <f>IF(B209&lt;=0,0,B209-E209)</f>
        <v/>
      </c>
      <c r="G209" s="15">
        <f>IF(B209&lt;=0,G208,G208+D209)</f>
        <v/>
      </c>
    </row>
    <row r="210">
      <c r="A210" t="n">
        <v>207</v>
      </c>
      <c r="B210" s="15">
        <f>IF(F209&lt;=0,0,F209)</f>
        <v/>
      </c>
      <c r="C210" s="15">
        <f>IF(B210&lt;=0,0,MIN(Assumptions!$B$14,B210+D210))</f>
        <v/>
      </c>
      <c r="D210" s="15">
        <f>IF(B210&lt;=0,0,B210*Assumptions!$B$6/12)</f>
        <v/>
      </c>
      <c r="E210" s="15">
        <f>IF(B210&lt;=0,0,C210-D210)</f>
        <v/>
      </c>
      <c r="F210" s="15">
        <f>IF(B210&lt;=0,0,B210-E210)</f>
        <v/>
      </c>
      <c r="G210" s="15">
        <f>IF(B210&lt;=0,G209,G209+D210)</f>
        <v/>
      </c>
    </row>
    <row r="211">
      <c r="A211" t="n">
        <v>208</v>
      </c>
      <c r="B211" s="15">
        <f>IF(F210&lt;=0,0,F210)</f>
        <v/>
      </c>
      <c r="C211" s="15">
        <f>IF(B211&lt;=0,0,MIN(Assumptions!$B$14,B211+D211))</f>
        <v/>
      </c>
      <c r="D211" s="15">
        <f>IF(B211&lt;=0,0,B211*Assumptions!$B$6/12)</f>
        <v/>
      </c>
      <c r="E211" s="15">
        <f>IF(B211&lt;=0,0,C211-D211)</f>
        <v/>
      </c>
      <c r="F211" s="15">
        <f>IF(B211&lt;=0,0,B211-E211)</f>
        <v/>
      </c>
      <c r="G211" s="15">
        <f>IF(B211&lt;=0,G210,G210+D211)</f>
        <v/>
      </c>
    </row>
    <row r="212">
      <c r="A212" t="n">
        <v>209</v>
      </c>
      <c r="B212" s="15">
        <f>IF(F211&lt;=0,0,F211)</f>
        <v/>
      </c>
      <c r="C212" s="15">
        <f>IF(B212&lt;=0,0,MIN(Assumptions!$B$14,B212+D212))</f>
        <v/>
      </c>
      <c r="D212" s="15">
        <f>IF(B212&lt;=0,0,B212*Assumptions!$B$6/12)</f>
        <v/>
      </c>
      <c r="E212" s="15">
        <f>IF(B212&lt;=0,0,C212-D212)</f>
        <v/>
      </c>
      <c r="F212" s="15">
        <f>IF(B212&lt;=0,0,B212-E212)</f>
        <v/>
      </c>
      <c r="G212" s="15">
        <f>IF(B212&lt;=0,G211,G211+D212)</f>
        <v/>
      </c>
    </row>
    <row r="213">
      <c r="A213" t="n">
        <v>210</v>
      </c>
      <c r="B213" s="15">
        <f>IF(F212&lt;=0,0,F212)</f>
        <v/>
      </c>
      <c r="C213" s="15">
        <f>IF(B213&lt;=0,0,MIN(Assumptions!$B$14,B213+D213))</f>
        <v/>
      </c>
      <c r="D213" s="15">
        <f>IF(B213&lt;=0,0,B213*Assumptions!$B$6/12)</f>
        <v/>
      </c>
      <c r="E213" s="15">
        <f>IF(B213&lt;=0,0,C213-D213)</f>
        <v/>
      </c>
      <c r="F213" s="15">
        <f>IF(B213&lt;=0,0,B213-E213)</f>
        <v/>
      </c>
      <c r="G213" s="15">
        <f>IF(B213&lt;=0,G212,G212+D213)</f>
        <v/>
      </c>
    </row>
    <row r="214">
      <c r="A214" t="n">
        <v>211</v>
      </c>
      <c r="B214" s="15">
        <f>IF(F213&lt;=0,0,F213)</f>
        <v/>
      </c>
      <c r="C214" s="15">
        <f>IF(B214&lt;=0,0,MIN(Assumptions!$B$14,B214+D214))</f>
        <v/>
      </c>
      <c r="D214" s="15">
        <f>IF(B214&lt;=0,0,B214*Assumptions!$B$6/12)</f>
        <v/>
      </c>
      <c r="E214" s="15">
        <f>IF(B214&lt;=0,0,C214-D214)</f>
        <v/>
      </c>
      <c r="F214" s="15">
        <f>IF(B214&lt;=0,0,B214-E214)</f>
        <v/>
      </c>
      <c r="G214" s="15">
        <f>IF(B214&lt;=0,G213,G213+D214)</f>
        <v/>
      </c>
    </row>
    <row r="215">
      <c r="A215" t="n">
        <v>212</v>
      </c>
      <c r="B215" s="15">
        <f>IF(F214&lt;=0,0,F214)</f>
        <v/>
      </c>
      <c r="C215" s="15">
        <f>IF(B215&lt;=0,0,MIN(Assumptions!$B$14,B215+D215))</f>
        <v/>
      </c>
      <c r="D215" s="15">
        <f>IF(B215&lt;=0,0,B215*Assumptions!$B$6/12)</f>
        <v/>
      </c>
      <c r="E215" s="15">
        <f>IF(B215&lt;=0,0,C215-D215)</f>
        <v/>
      </c>
      <c r="F215" s="15">
        <f>IF(B215&lt;=0,0,B215-E215)</f>
        <v/>
      </c>
      <c r="G215" s="15">
        <f>IF(B215&lt;=0,G214,G214+D215)</f>
        <v/>
      </c>
    </row>
    <row r="216">
      <c r="A216" t="n">
        <v>213</v>
      </c>
      <c r="B216" s="15">
        <f>IF(F215&lt;=0,0,F215)</f>
        <v/>
      </c>
      <c r="C216" s="15">
        <f>IF(B216&lt;=0,0,MIN(Assumptions!$B$14,B216+D216))</f>
        <v/>
      </c>
      <c r="D216" s="15">
        <f>IF(B216&lt;=0,0,B216*Assumptions!$B$6/12)</f>
        <v/>
      </c>
      <c r="E216" s="15">
        <f>IF(B216&lt;=0,0,C216-D216)</f>
        <v/>
      </c>
      <c r="F216" s="15">
        <f>IF(B216&lt;=0,0,B216-E216)</f>
        <v/>
      </c>
      <c r="G216" s="15">
        <f>IF(B216&lt;=0,G215,G215+D216)</f>
        <v/>
      </c>
    </row>
    <row r="217">
      <c r="A217" t="n">
        <v>214</v>
      </c>
      <c r="B217" s="15">
        <f>IF(F216&lt;=0,0,F216)</f>
        <v/>
      </c>
      <c r="C217" s="15">
        <f>IF(B217&lt;=0,0,MIN(Assumptions!$B$14,B217+D217))</f>
        <v/>
      </c>
      <c r="D217" s="15">
        <f>IF(B217&lt;=0,0,B217*Assumptions!$B$6/12)</f>
        <v/>
      </c>
      <c r="E217" s="15">
        <f>IF(B217&lt;=0,0,C217-D217)</f>
        <v/>
      </c>
      <c r="F217" s="15">
        <f>IF(B217&lt;=0,0,B217-E217)</f>
        <v/>
      </c>
      <c r="G217" s="15">
        <f>IF(B217&lt;=0,G216,G216+D217)</f>
        <v/>
      </c>
    </row>
    <row r="218">
      <c r="A218" t="n">
        <v>215</v>
      </c>
      <c r="B218" s="15">
        <f>IF(F217&lt;=0,0,F217)</f>
        <v/>
      </c>
      <c r="C218" s="15">
        <f>IF(B218&lt;=0,0,MIN(Assumptions!$B$14,B218+D218))</f>
        <v/>
      </c>
      <c r="D218" s="15">
        <f>IF(B218&lt;=0,0,B218*Assumptions!$B$6/12)</f>
        <v/>
      </c>
      <c r="E218" s="15">
        <f>IF(B218&lt;=0,0,C218-D218)</f>
        <v/>
      </c>
      <c r="F218" s="15">
        <f>IF(B218&lt;=0,0,B218-E218)</f>
        <v/>
      </c>
      <c r="G218" s="15">
        <f>IF(B218&lt;=0,G217,G217+D218)</f>
        <v/>
      </c>
    </row>
    <row r="219">
      <c r="A219" t="n">
        <v>216</v>
      </c>
      <c r="B219" s="15">
        <f>IF(F218&lt;=0,0,F218)</f>
        <v/>
      </c>
      <c r="C219" s="15">
        <f>IF(B219&lt;=0,0,MIN(Assumptions!$B$14,B219+D219))</f>
        <v/>
      </c>
      <c r="D219" s="15">
        <f>IF(B219&lt;=0,0,B219*Assumptions!$B$6/12)</f>
        <v/>
      </c>
      <c r="E219" s="15">
        <f>IF(B219&lt;=0,0,C219-D219)</f>
        <v/>
      </c>
      <c r="F219" s="15">
        <f>IF(B219&lt;=0,0,B219-E219)</f>
        <v/>
      </c>
      <c r="G219" s="15">
        <f>IF(B219&lt;=0,G218,G218+D219)</f>
        <v/>
      </c>
    </row>
    <row r="220">
      <c r="A220" t="n">
        <v>217</v>
      </c>
      <c r="B220" s="15">
        <f>IF(F219&lt;=0,0,F219)</f>
        <v/>
      </c>
      <c r="C220" s="15">
        <f>IF(B220&lt;=0,0,MIN(Assumptions!$B$14,B220+D220))</f>
        <v/>
      </c>
      <c r="D220" s="15">
        <f>IF(B220&lt;=0,0,B220*Assumptions!$B$6/12)</f>
        <v/>
      </c>
      <c r="E220" s="15">
        <f>IF(B220&lt;=0,0,C220-D220)</f>
        <v/>
      </c>
      <c r="F220" s="15">
        <f>IF(B220&lt;=0,0,B220-E220)</f>
        <v/>
      </c>
      <c r="G220" s="15">
        <f>IF(B220&lt;=0,G219,G219+D220)</f>
        <v/>
      </c>
    </row>
    <row r="221">
      <c r="A221" t="n">
        <v>218</v>
      </c>
      <c r="B221" s="15">
        <f>IF(F220&lt;=0,0,F220)</f>
        <v/>
      </c>
      <c r="C221" s="15">
        <f>IF(B221&lt;=0,0,MIN(Assumptions!$B$14,B221+D221))</f>
        <v/>
      </c>
      <c r="D221" s="15">
        <f>IF(B221&lt;=0,0,B221*Assumptions!$B$6/12)</f>
        <v/>
      </c>
      <c r="E221" s="15">
        <f>IF(B221&lt;=0,0,C221-D221)</f>
        <v/>
      </c>
      <c r="F221" s="15">
        <f>IF(B221&lt;=0,0,B221-E221)</f>
        <v/>
      </c>
      <c r="G221" s="15">
        <f>IF(B221&lt;=0,G220,G220+D221)</f>
        <v/>
      </c>
    </row>
    <row r="222">
      <c r="A222" t="n">
        <v>219</v>
      </c>
      <c r="B222" s="15">
        <f>IF(F221&lt;=0,0,F221)</f>
        <v/>
      </c>
      <c r="C222" s="15">
        <f>IF(B222&lt;=0,0,MIN(Assumptions!$B$14,B222+D222))</f>
        <v/>
      </c>
      <c r="D222" s="15">
        <f>IF(B222&lt;=0,0,B222*Assumptions!$B$6/12)</f>
        <v/>
      </c>
      <c r="E222" s="15">
        <f>IF(B222&lt;=0,0,C222-D222)</f>
        <v/>
      </c>
      <c r="F222" s="15">
        <f>IF(B222&lt;=0,0,B222-E222)</f>
        <v/>
      </c>
      <c r="G222" s="15">
        <f>IF(B222&lt;=0,G221,G221+D222)</f>
        <v/>
      </c>
    </row>
    <row r="223">
      <c r="A223" t="n">
        <v>220</v>
      </c>
      <c r="B223" s="15">
        <f>IF(F222&lt;=0,0,F222)</f>
        <v/>
      </c>
      <c r="C223" s="15">
        <f>IF(B223&lt;=0,0,MIN(Assumptions!$B$14,B223+D223))</f>
        <v/>
      </c>
      <c r="D223" s="15">
        <f>IF(B223&lt;=0,0,B223*Assumptions!$B$6/12)</f>
        <v/>
      </c>
      <c r="E223" s="15">
        <f>IF(B223&lt;=0,0,C223-D223)</f>
        <v/>
      </c>
      <c r="F223" s="15">
        <f>IF(B223&lt;=0,0,B223-E223)</f>
        <v/>
      </c>
      <c r="G223" s="15">
        <f>IF(B223&lt;=0,G222,G222+D223)</f>
        <v/>
      </c>
    </row>
    <row r="224">
      <c r="A224" t="n">
        <v>221</v>
      </c>
      <c r="B224" s="15">
        <f>IF(F223&lt;=0,0,F223)</f>
        <v/>
      </c>
      <c r="C224" s="15">
        <f>IF(B224&lt;=0,0,MIN(Assumptions!$B$14,B224+D224))</f>
        <v/>
      </c>
      <c r="D224" s="15">
        <f>IF(B224&lt;=0,0,B224*Assumptions!$B$6/12)</f>
        <v/>
      </c>
      <c r="E224" s="15">
        <f>IF(B224&lt;=0,0,C224-D224)</f>
        <v/>
      </c>
      <c r="F224" s="15">
        <f>IF(B224&lt;=0,0,B224-E224)</f>
        <v/>
      </c>
      <c r="G224" s="15">
        <f>IF(B224&lt;=0,G223,G223+D224)</f>
        <v/>
      </c>
    </row>
    <row r="225">
      <c r="A225" t="n">
        <v>222</v>
      </c>
      <c r="B225" s="15">
        <f>IF(F224&lt;=0,0,F224)</f>
        <v/>
      </c>
      <c r="C225" s="15">
        <f>IF(B225&lt;=0,0,MIN(Assumptions!$B$14,B225+D225))</f>
        <v/>
      </c>
      <c r="D225" s="15">
        <f>IF(B225&lt;=0,0,B225*Assumptions!$B$6/12)</f>
        <v/>
      </c>
      <c r="E225" s="15">
        <f>IF(B225&lt;=0,0,C225-D225)</f>
        <v/>
      </c>
      <c r="F225" s="15">
        <f>IF(B225&lt;=0,0,B225-E225)</f>
        <v/>
      </c>
      <c r="G225" s="15">
        <f>IF(B225&lt;=0,G224,G224+D225)</f>
        <v/>
      </c>
    </row>
    <row r="226">
      <c r="A226" t="n">
        <v>223</v>
      </c>
      <c r="B226" s="15">
        <f>IF(F225&lt;=0,0,F225)</f>
        <v/>
      </c>
      <c r="C226" s="15">
        <f>IF(B226&lt;=0,0,MIN(Assumptions!$B$14,B226+D226))</f>
        <v/>
      </c>
      <c r="D226" s="15">
        <f>IF(B226&lt;=0,0,B226*Assumptions!$B$6/12)</f>
        <v/>
      </c>
      <c r="E226" s="15">
        <f>IF(B226&lt;=0,0,C226-D226)</f>
        <v/>
      </c>
      <c r="F226" s="15">
        <f>IF(B226&lt;=0,0,B226-E226)</f>
        <v/>
      </c>
      <c r="G226" s="15">
        <f>IF(B226&lt;=0,G225,G225+D226)</f>
        <v/>
      </c>
    </row>
    <row r="227">
      <c r="A227" t="n">
        <v>224</v>
      </c>
      <c r="B227" s="15">
        <f>IF(F226&lt;=0,0,F226)</f>
        <v/>
      </c>
      <c r="C227" s="15">
        <f>IF(B227&lt;=0,0,MIN(Assumptions!$B$14,B227+D227))</f>
        <v/>
      </c>
      <c r="D227" s="15">
        <f>IF(B227&lt;=0,0,B227*Assumptions!$B$6/12)</f>
        <v/>
      </c>
      <c r="E227" s="15">
        <f>IF(B227&lt;=0,0,C227-D227)</f>
        <v/>
      </c>
      <c r="F227" s="15">
        <f>IF(B227&lt;=0,0,B227-E227)</f>
        <v/>
      </c>
      <c r="G227" s="15">
        <f>IF(B227&lt;=0,G226,G226+D227)</f>
        <v/>
      </c>
    </row>
    <row r="228">
      <c r="A228" t="n">
        <v>225</v>
      </c>
      <c r="B228" s="15">
        <f>IF(F227&lt;=0,0,F227)</f>
        <v/>
      </c>
      <c r="C228" s="15">
        <f>IF(B228&lt;=0,0,MIN(Assumptions!$B$14,B228+D228))</f>
        <v/>
      </c>
      <c r="D228" s="15">
        <f>IF(B228&lt;=0,0,B228*Assumptions!$B$6/12)</f>
        <v/>
      </c>
      <c r="E228" s="15">
        <f>IF(B228&lt;=0,0,C228-D228)</f>
        <v/>
      </c>
      <c r="F228" s="15">
        <f>IF(B228&lt;=0,0,B228-E228)</f>
        <v/>
      </c>
      <c r="G228" s="15">
        <f>IF(B228&lt;=0,G227,G227+D228)</f>
        <v/>
      </c>
    </row>
    <row r="229">
      <c r="A229" t="n">
        <v>226</v>
      </c>
      <c r="B229" s="15">
        <f>IF(F228&lt;=0,0,F228)</f>
        <v/>
      </c>
      <c r="C229" s="15">
        <f>IF(B229&lt;=0,0,MIN(Assumptions!$B$14,B229+D229))</f>
        <v/>
      </c>
      <c r="D229" s="15">
        <f>IF(B229&lt;=0,0,B229*Assumptions!$B$6/12)</f>
        <v/>
      </c>
      <c r="E229" s="15">
        <f>IF(B229&lt;=0,0,C229-D229)</f>
        <v/>
      </c>
      <c r="F229" s="15">
        <f>IF(B229&lt;=0,0,B229-E229)</f>
        <v/>
      </c>
      <c r="G229" s="15">
        <f>IF(B229&lt;=0,G228,G228+D229)</f>
        <v/>
      </c>
    </row>
    <row r="230">
      <c r="A230" t="n">
        <v>227</v>
      </c>
      <c r="B230" s="15">
        <f>IF(F229&lt;=0,0,F229)</f>
        <v/>
      </c>
      <c r="C230" s="15">
        <f>IF(B230&lt;=0,0,MIN(Assumptions!$B$14,B230+D230))</f>
        <v/>
      </c>
      <c r="D230" s="15">
        <f>IF(B230&lt;=0,0,B230*Assumptions!$B$6/12)</f>
        <v/>
      </c>
      <c r="E230" s="15">
        <f>IF(B230&lt;=0,0,C230-D230)</f>
        <v/>
      </c>
      <c r="F230" s="15">
        <f>IF(B230&lt;=0,0,B230-E230)</f>
        <v/>
      </c>
      <c r="G230" s="15">
        <f>IF(B230&lt;=0,G229,G229+D230)</f>
        <v/>
      </c>
    </row>
    <row r="231">
      <c r="A231" t="n">
        <v>228</v>
      </c>
      <c r="B231" s="15">
        <f>IF(F230&lt;=0,0,F230)</f>
        <v/>
      </c>
      <c r="C231" s="15">
        <f>IF(B231&lt;=0,0,MIN(Assumptions!$B$14,B231+D231))</f>
        <v/>
      </c>
      <c r="D231" s="15">
        <f>IF(B231&lt;=0,0,B231*Assumptions!$B$6/12)</f>
        <v/>
      </c>
      <c r="E231" s="15">
        <f>IF(B231&lt;=0,0,C231-D231)</f>
        <v/>
      </c>
      <c r="F231" s="15">
        <f>IF(B231&lt;=0,0,B231-E231)</f>
        <v/>
      </c>
      <c r="G231" s="15">
        <f>IF(B231&lt;=0,G230,G230+D231)</f>
        <v/>
      </c>
    </row>
    <row r="232">
      <c r="A232" t="n">
        <v>229</v>
      </c>
      <c r="B232" s="15">
        <f>IF(F231&lt;=0,0,F231)</f>
        <v/>
      </c>
      <c r="C232" s="15">
        <f>IF(B232&lt;=0,0,MIN(Assumptions!$B$14,B232+D232))</f>
        <v/>
      </c>
      <c r="D232" s="15">
        <f>IF(B232&lt;=0,0,B232*Assumptions!$B$6/12)</f>
        <v/>
      </c>
      <c r="E232" s="15">
        <f>IF(B232&lt;=0,0,C232-D232)</f>
        <v/>
      </c>
      <c r="F232" s="15">
        <f>IF(B232&lt;=0,0,B232-E232)</f>
        <v/>
      </c>
      <c r="G232" s="15">
        <f>IF(B232&lt;=0,G231,G231+D232)</f>
        <v/>
      </c>
    </row>
    <row r="233">
      <c r="A233" t="n">
        <v>230</v>
      </c>
      <c r="B233" s="15">
        <f>IF(F232&lt;=0,0,F232)</f>
        <v/>
      </c>
      <c r="C233" s="15">
        <f>IF(B233&lt;=0,0,MIN(Assumptions!$B$14,B233+D233))</f>
        <v/>
      </c>
      <c r="D233" s="15">
        <f>IF(B233&lt;=0,0,B233*Assumptions!$B$6/12)</f>
        <v/>
      </c>
      <c r="E233" s="15">
        <f>IF(B233&lt;=0,0,C233-D233)</f>
        <v/>
      </c>
      <c r="F233" s="15">
        <f>IF(B233&lt;=0,0,B233-E233)</f>
        <v/>
      </c>
      <c r="G233" s="15">
        <f>IF(B233&lt;=0,G232,G232+D233)</f>
        <v/>
      </c>
    </row>
    <row r="234">
      <c r="A234" t="n">
        <v>231</v>
      </c>
      <c r="B234" s="15">
        <f>IF(F233&lt;=0,0,F233)</f>
        <v/>
      </c>
      <c r="C234" s="15">
        <f>IF(B234&lt;=0,0,MIN(Assumptions!$B$14,B234+D234))</f>
        <v/>
      </c>
      <c r="D234" s="15">
        <f>IF(B234&lt;=0,0,B234*Assumptions!$B$6/12)</f>
        <v/>
      </c>
      <c r="E234" s="15">
        <f>IF(B234&lt;=0,0,C234-D234)</f>
        <v/>
      </c>
      <c r="F234" s="15">
        <f>IF(B234&lt;=0,0,B234-E234)</f>
        <v/>
      </c>
      <c r="G234" s="15">
        <f>IF(B234&lt;=0,G233,G233+D234)</f>
        <v/>
      </c>
    </row>
    <row r="235">
      <c r="A235" t="n">
        <v>232</v>
      </c>
      <c r="B235" s="15">
        <f>IF(F234&lt;=0,0,F234)</f>
        <v/>
      </c>
      <c r="C235" s="15">
        <f>IF(B235&lt;=0,0,MIN(Assumptions!$B$14,B235+D235))</f>
        <v/>
      </c>
      <c r="D235" s="15">
        <f>IF(B235&lt;=0,0,B235*Assumptions!$B$6/12)</f>
        <v/>
      </c>
      <c r="E235" s="15">
        <f>IF(B235&lt;=0,0,C235-D235)</f>
        <v/>
      </c>
      <c r="F235" s="15">
        <f>IF(B235&lt;=0,0,B235-E235)</f>
        <v/>
      </c>
      <c r="G235" s="15">
        <f>IF(B235&lt;=0,G234,G234+D235)</f>
        <v/>
      </c>
    </row>
    <row r="236">
      <c r="A236" t="n">
        <v>233</v>
      </c>
      <c r="B236" s="15">
        <f>IF(F235&lt;=0,0,F235)</f>
        <v/>
      </c>
      <c r="C236" s="15">
        <f>IF(B236&lt;=0,0,MIN(Assumptions!$B$14,B236+D236))</f>
        <v/>
      </c>
      <c r="D236" s="15">
        <f>IF(B236&lt;=0,0,B236*Assumptions!$B$6/12)</f>
        <v/>
      </c>
      <c r="E236" s="15">
        <f>IF(B236&lt;=0,0,C236-D236)</f>
        <v/>
      </c>
      <c r="F236" s="15">
        <f>IF(B236&lt;=0,0,B236-E236)</f>
        <v/>
      </c>
      <c r="G236" s="15">
        <f>IF(B236&lt;=0,G235,G235+D236)</f>
        <v/>
      </c>
    </row>
    <row r="237">
      <c r="A237" t="n">
        <v>234</v>
      </c>
      <c r="B237" s="15">
        <f>IF(F236&lt;=0,0,F236)</f>
        <v/>
      </c>
      <c r="C237" s="15">
        <f>IF(B237&lt;=0,0,MIN(Assumptions!$B$14,B237+D237))</f>
        <v/>
      </c>
      <c r="D237" s="15">
        <f>IF(B237&lt;=0,0,B237*Assumptions!$B$6/12)</f>
        <v/>
      </c>
      <c r="E237" s="15">
        <f>IF(B237&lt;=0,0,C237-D237)</f>
        <v/>
      </c>
      <c r="F237" s="15">
        <f>IF(B237&lt;=0,0,B237-E237)</f>
        <v/>
      </c>
      <c r="G237" s="15">
        <f>IF(B237&lt;=0,G236,G236+D237)</f>
        <v/>
      </c>
    </row>
    <row r="238">
      <c r="A238" t="n">
        <v>235</v>
      </c>
      <c r="B238" s="15">
        <f>IF(F237&lt;=0,0,F237)</f>
        <v/>
      </c>
      <c r="C238" s="15">
        <f>IF(B238&lt;=0,0,MIN(Assumptions!$B$14,B238+D238))</f>
        <v/>
      </c>
      <c r="D238" s="15">
        <f>IF(B238&lt;=0,0,B238*Assumptions!$B$6/12)</f>
        <v/>
      </c>
      <c r="E238" s="15">
        <f>IF(B238&lt;=0,0,C238-D238)</f>
        <v/>
      </c>
      <c r="F238" s="15">
        <f>IF(B238&lt;=0,0,B238-E238)</f>
        <v/>
      </c>
      <c r="G238" s="15">
        <f>IF(B238&lt;=0,G237,G237+D238)</f>
        <v/>
      </c>
    </row>
    <row r="239">
      <c r="A239" t="n">
        <v>236</v>
      </c>
      <c r="B239" s="15">
        <f>IF(F238&lt;=0,0,F238)</f>
        <v/>
      </c>
      <c r="C239" s="15">
        <f>IF(B239&lt;=0,0,MIN(Assumptions!$B$14,B239+D239))</f>
        <v/>
      </c>
      <c r="D239" s="15">
        <f>IF(B239&lt;=0,0,B239*Assumptions!$B$6/12)</f>
        <v/>
      </c>
      <c r="E239" s="15">
        <f>IF(B239&lt;=0,0,C239-D239)</f>
        <v/>
      </c>
      <c r="F239" s="15">
        <f>IF(B239&lt;=0,0,B239-E239)</f>
        <v/>
      </c>
      <c r="G239" s="15">
        <f>IF(B239&lt;=0,G238,G238+D239)</f>
        <v/>
      </c>
    </row>
    <row r="240">
      <c r="A240" t="n">
        <v>237</v>
      </c>
      <c r="B240" s="15">
        <f>IF(F239&lt;=0,0,F239)</f>
        <v/>
      </c>
      <c r="C240" s="15">
        <f>IF(B240&lt;=0,0,MIN(Assumptions!$B$14,B240+D240))</f>
        <v/>
      </c>
      <c r="D240" s="15">
        <f>IF(B240&lt;=0,0,B240*Assumptions!$B$6/12)</f>
        <v/>
      </c>
      <c r="E240" s="15">
        <f>IF(B240&lt;=0,0,C240-D240)</f>
        <v/>
      </c>
      <c r="F240" s="15">
        <f>IF(B240&lt;=0,0,B240-E240)</f>
        <v/>
      </c>
      <c r="G240" s="15">
        <f>IF(B240&lt;=0,G239,G239+D240)</f>
        <v/>
      </c>
    </row>
    <row r="241">
      <c r="A241" t="n">
        <v>238</v>
      </c>
      <c r="B241" s="15">
        <f>IF(F240&lt;=0,0,F240)</f>
        <v/>
      </c>
      <c r="C241" s="15">
        <f>IF(B241&lt;=0,0,MIN(Assumptions!$B$14,B241+D241))</f>
        <v/>
      </c>
      <c r="D241" s="15">
        <f>IF(B241&lt;=0,0,B241*Assumptions!$B$6/12)</f>
        <v/>
      </c>
      <c r="E241" s="15">
        <f>IF(B241&lt;=0,0,C241-D241)</f>
        <v/>
      </c>
      <c r="F241" s="15">
        <f>IF(B241&lt;=0,0,B241-E241)</f>
        <v/>
      </c>
      <c r="G241" s="15">
        <f>IF(B241&lt;=0,G240,G240+D241)</f>
        <v/>
      </c>
    </row>
    <row r="242">
      <c r="A242" t="n">
        <v>239</v>
      </c>
      <c r="B242" s="15">
        <f>IF(F241&lt;=0,0,F241)</f>
        <v/>
      </c>
      <c r="C242" s="15">
        <f>IF(B242&lt;=0,0,MIN(Assumptions!$B$14,B242+D242))</f>
        <v/>
      </c>
      <c r="D242" s="15">
        <f>IF(B242&lt;=0,0,B242*Assumptions!$B$6/12)</f>
        <v/>
      </c>
      <c r="E242" s="15">
        <f>IF(B242&lt;=0,0,C242-D242)</f>
        <v/>
      </c>
      <c r="F242" s="15">
        <f>IF(B242&lt;=0,0,B242-E242)</f>
        <v/>
      </c>
      <c r="G242" s="15">
        <f>IF(B242&lt;=0,G241,G241+D242)</f>
        <v/>
      </c>
    </row>
    <row r="243">
      <c r="A243" t="n">
        <v>240</v>
      </c>
      <c r="B243" s="15">
        <f>IF(F242&lt;=0,0,F242)</f>
        <v/>
      </c>
      <c r="C243" s="15">
        <f>IF(B243&lt;=0,0,MIN(Assumptions!$B$14,B243+D243))</f>
        <v/>
      </c>
      <c r="D243" s="15">
        <f>IF(B243&lt;=0,0,B243*Assumptions!$B$6/12)</f>
        <v/>
      </c>
      <c r="E243" s="15">
        <f>IF(B243&lt;=0,0,C243-D243)</f>
        <v/>
      </c>
      <c r="F243" s="15">
        <f>IF(B243&lt;=0,0,B243-E243)</f>
        <v/>
      </c>
      <c r="G243" s="15">
        <f>IF(B243&lt;=0,G242,G242+D243)</f>
        <v/>
      </c>
    </row>
    <row r="244">
      <c r="A244" t="n">
        <v>241</v>
      </c>
      <c r="B244" s="15">
        <f>IF(F243&lt;=0,0,F243)</f>
        <v/>
      </c>
      <c r="C244" s="15">
        <f>IF(B244&lt;=0,0,MIN(Assumptions!$B$14,B244+D244))</f>
        <v/>
      </c>
      <c r="D244" s="15">
        <f>IF(B244&lt;=0,0,B244*Assumptions!$B$6/12)</f>
        <v/>
      </c>
      <c r="E244" s="15">
        <f>IF(B244&lt;=0,0,C244-D244)</f>
        <v/>
      </c>
      <c r="F244" s="15">
        <f>IF(B244&lt;=0,0,B244-E244)</f>
        <v/>
      </c>
      <c r="G244" s="15">
        <f>IF(B244&lt;=0,G243,G243+D244)</f>
        <v/>
      </c>
    </row>
    <row r="245">
      <c r="A245" t="n">
        <v>242</v>
      </c>
      <c r="B245" s="15">
        <f>IF(F244&lt;=0,0,F244)</f>
        <v/>
      </c>
      <c r="C245" s="15">
        <f>IF(B245&lt;=0,0,MIN(Assumptions!$B$14,B245+D245))</f>
        <v/>
      </c>
      <c r="D245" s="15">
        <f>IF(B245&lt;=0,0,B245*Assumptions!$B$6/12)</f>
        <v/>
      </c>
      <c r="E245" s="15">
        <f>IF(B245&lt;=0,0,C245-D245)</f>
        <v/>
      </c>
      <c r="F245" s="15">
        <f>IF(B245&lt;=0,0,B245-E245)</f>
        <v/>
      </c>
      <c r="G245" s="15">
        <f>IF(B245&lt;=0,G244,G244+D245)</f>
        <v/>
      </c>
    </row>
    <row r="246">
      <c r="A246" t="n">
        <v>243</v>
      </c>
      <c r="B246" s="15">
        <f>IF(F245&lt;=0,0,F245)</f>
        <v/>
      </c>
      <c r="C246" s="15">
        <f>IF(B246&lt;=0,0,MIN(Assumptions!$B$14,B246+D246))</f>
        <v/>
      </c>
      <c r="D246" s="15">
        <f>IF(B246&lt;=0,0,B246*Assumptions!$B$6/12)</f>
        <v/>
      </c>
      <c r="E246" s="15">
        <f>IF(B246&lt;=0,0,C246-D246)</f>
        <v/>
      </c>
      <c r="F246" s="15">
        <f>IF(B246&lt;=0,0,B246-E246)</f>
        <v/>
      </c>
      <c r="G246" s="15">
        <f>IF(B246&lt;=0,G245,G245+D246)</f>
        <v/>
      </c>
    </row>
    <row r="247">
      <c r="A247" t="n">
        <v>244</v>
      </c>
      <c r="B247" s="15">
        <f>IF(F246&lt;=0,0,F246)</f>
        <v/>
      </c>
      <c r="C247" s="15">
        <f>IF(B247&lt;=0,0,MIN(Assumptions!$B$14,B247+D247))</f>
        <v/>
      </c>
      <c r="D247" s="15">
        <f>IF(B247&lt;=0,0,B247*Assumptions!$B$6/12)</f>
        <v/>
      </c>
      <c r="E247" s="15">
        <f>IF(B247&lt;=0,0,C247-D247)</f>
        <v/>
      </c>
      <c r="F247" s="15">
        <f>IF(B247&lt;=0,0,B247-E247)</f>
        <v/>
      </c>
      <c r="G247" s="15">
        <f>IF(B247&lt;=0,G246,G246+D247)</f>
        <v/>
      </c>
    </row>
    <row r="248">
      <c r="A248" t="n">
        <v>245</v>
      </c>
      <c r="B248" s="15">
        <f>IF(F247&lt;=0,0,F247)</f>
        <v/>
      </c>
      <c r="C248" s="15">
        <f>IF(B248&lt;=0,0,MIN(Assumptions!$B$14,B248+D248))</f>
        <v/>
      </c>
      <c r="D248" s="15">
        <f>IF(B248&lt;=0,0,B248*Assumptions!$B$6/12)</f>
        <v/>
      </c>
      <c r="E248" s="15">
        <f>IF(B248&lt;=0,0,C248-D248)</f>
        <v/>
      </c>
      <c r="F248" s="15">
        <f>IF(B248&lt;=0,0,B248-E248)</f>
        <v/>
      </c>
      <c r="G248" s="15">
        <f>IF(B248&lt;=0,G247,G247+D248)</f>
        <v/>
      </c>
    </row>
    <row r="249">
      <c r="A249" t="n">
        <v>246</v>
      </c>
      <c r="B249" s="15">
        <f>IF(F248&lt;=0,0,F248)</f>
        <v/>
      </c>
      <c r="C249" s="15">
        <f>IF(B249&lt;=0,0,MIN(Assumptions!$B$14,B249+D249))</f>
        <v/>
      </c>
      <c r="D249" s="15">
        <f>IF(B249&lt;=0,0,B249*Assumptions!$B$6/12)</f>
        <v/>
      </c>
      <c r="E249" s="15">
        <f>IF(B249&lt;=0,0,C249-D249)</f>
        <v/>
      </c>
      <c r="F249" s="15">
        <f>IF(B249&lt;=0,0,B249-E249)</f>
        <v/>
      </c>
      <c r="G249" s="15">
        <f>IF(B249&lt;=0,G248,G248+D249)</f>
        <v/>
      </c>
    </row>
    <row r="250">
      <c r="A250" t="n">
        <v>247</v>
      </c>
      <c r="B250" s="15">
        <f>IF(F249&lt;=0,0,F249)</f>
        <v/>
      </c>
      <c r="C250" s="15">
        <f>IF(B250&lt;=0,0,MIN(Assumptions!$B$14,B250+D250))</f>
        <v/>
      </c>
      <c r="D250" s="15">
        <f>IF(B250&lt;=0,0,B250*Assumptions!$B$6/12)</f>
        <v/>
      </c>
      <c r="E250" s="15">
        <f>IF(B250&lt;=0,0,C250-D250)</f>
        <v/>
      </c>
      <c r="F250" s="15">
        <f>IF(B250&lt;=0,0,B250-E250)</f>
        <v/>
      </c>
      <c r="G250" s="15">
        <f>IF(B250&lt;=0,G249,G249+D250)</f>
        <v/>
      </c>
    </row>
    <row r="251">
      <c r="A251" t="n">
        <v>248</v>
      </c>
      <c r="B251" s="15">
        <f>IF(F250&lt;=0,0,F250)</f>
        <v/>
      </c>
      <c r="C251" s="15">
        <f>IF(B251&lt;=0,0,MIN(Assumptions!$B$14,B251+D251))</f>
        <v/>
      </c>
      <c r="D251" s="15">
        <f>IF(B251&lt;=0,0,B251*Assumptions!$B$6/12)</f>
        <v/>
      </c>
      <c r="E251" s="15">
        <f>IF(B251&lt;=0,0,C251-D251)</f>
        <v/>
      </c>
      <c r="F251" s="15">
        <f>IF(B251&lt;=0,0,B251-E251)</f>
        <v/>
      </c>
      <c r="G251" s="15">
        <f>IF(B251&lt;=0,G250,G250+D251)</f>
        <v/>
      </c>
    </row>
    <row r="252">
      <c r="A252" t="n">
        <v>249</v>
      </c>
      <c r="B252" s="15">
        <f>IF(F251&lt;=0,0,F251)</f>
        <v/>
      </c>
      <c r="C252" s="15">
        <f>IF(B252&lt;=0,0,MIN(Assumptions!$B$14,B252+D252))</f>
        <v/>
      </c>
      <c r="D252" s="15">
        <f>IF(B252&lt;=0,0,B252*Assumptions!$B$6/12)</f>
        <v/>
      </c>
      <c r="E252" s="15">
        <f>IF(B252&lt;=0,0,C252-D252)</f>
        <v/>
      </c>
      <c r="F252" s="15">
        <f>IF(B252&lt;=0,0,B252-E252)</f>
        <v/>
      </c>
      <c r="G252" s="15">
        <f>IF(B252&lt;=0,G251,G251+D252)</f>
        <v/>
      </c>
    </row>
    <row r="253">
      <c r="A253" t="n">
        <v>250</v>
      </c>
      <c r="B253" s="15">
        <f>IF(F252&lt;=0,0,F252)</f>
        <v/>
      </c>
      <c r="C253" s="15">
        <f>IF(B253&lt;=0,0,MIN(Assumptions!$B$14,B253+D253))</f>
        <v/>
      </c>
      <c r="D253" s="15">
        <f>IF(B253&lt;=0,0,B253*Assumptions!$B$6/12)</f>
        <v/>
      </c>
      <c r="E253" s="15">
        <f>IF(B253&lt;=0,0,C253-D253)</f>
        <v/>
      </c>
      <c r="F253" s="15">
        <f>IF(B253&lt;=0,0,B253-E253)</f>
        <v/>
      </c>
      <c r="G253" s="15">
        <f>IF(B253&lt;=0,G252,G252+D253)</f>
        <v/>
      </c>
    </row>
    <row r="254">
      <c r="A254" t="n">
        <v>251</v>
      </c>
      <c r="B254" s="15">
        <f>IF(F253&lt;=0,0,F253)</f>
        <v/>
      </c>
      <c r="C254" s="15">
        <f>IF(B254&lt;=0,0,MIN(Assumptions!$B$14,B254+D254))</f>
        <v/>
      </c>
      <c r="D254" s="15">
        <f>IF(B254&lt;=0,0,B254*Assumptions!$B$6/12)</f>
        <v/>
      </c>
      <c r="E254" s="15">
        <f>IF(B254&lt;=0,0,C254-D254)</f>
        <v/>
      </c>
      <c r="F254" s="15">
        <f>IF(B254&lt;=0,0,B254-E254)</f>
        <v/>
      </c>
      <c r="G254" s="15">
        <f>IF(B254&lt;=0,G253,G253+D254)</f>
        <v/>
      </c>
    </row>
    <row r="255">
      <c r="A255" t="n">
        <v>252</v>
      </c>
      <c r="B255" s="15">
        <f>IF(F254&lt;=0,0,F254)</f>
        <v/>
      </c>
      <c r="C255" s="15">
        <f>IF(B255&lt;=0,0,MIN(Assumptions!$B$14,B255+D255))</f>
        <v/>
      </c>
      <c r="D255" s="15">
        <f>IF(B255&lt;=0,0,B255*Assumptions!$B$6/12)</f>
        <v/>
      </c>
      <c r="E255" s="15">
        <f>IF(B255&lt;=0,0,C255-D255)</f>
        <v/>
      </c>
      <c r="F255" s="15">
        <f>IF(B255&lt;=0,0,B255-E255)</f>
        <v/>
      </c>
      <c r="G255" s="15">
        <f>IF(B255&lt;=0,G254,G254+D255)</f>
        <v/>
      </c>
    </row>
    <row r="256">
      <c r="A256" t="n">
        <v>253</v>
      </c>
      <c r="B256" s="15">
        <f>IF(F255&lt;=0,0,F255)</f>
        <v/>
      </c>
      <c r="C256" s="15">
        <f>IF(B256&lt;=0,0,MIN(Assumptions!$B$14,B256+D256))</f>
        <v/>
      </c>
      <c r="D256" s="15">
        <f>IF(B256&lt;=0,0,B256*Assumptions!$B$6/12)</f>
        <v/>
      </c>
      <c r="E256" s="15">
        <f>IF(B256&lt;=0,0,C256-D256)</f>
        <v/>
      </c>
      <c r="F256" s="15">
        <f>IF(B256&lt;=0,0,B256-E256)</f>
        <v/>
      </c>
      <c r="G256" s="15">
        <f>IF(B256&lt;=0,G255,G255+D256)</f>
        <v/>
      </c>
    </row>
    <row r="257">
      <c r="A257" t="n">
        <v>254</v>
      </c>
      <c r="B257" s="15">
        <f>IF(F256&lt;=0,0,F256)</f>
        <v/>
      </c>
      <c r="C257" s="15">
        <f>IF(B257&lt;=0,0,MIN(Assumptions!$B$14,B257+D257))</f>
        <v/>
      </c>
      <c r="D257" s="15">
        <f>IF(B257&lt;=0,0,B257*Assumptions!$B$6/12)</f>
        <v/>
      </c>
      <c r="E257" s="15">
        <f>IF(B257&lt;=0,0,C257-D257)</f>
        <v/>
      </c>
      <c r="F257" s="15">
        <f>IF(B257&lt;=0,0,B257-E257)</f>
        <v/>
      </c>
      <c r="G257" s="15">
        <f>IF(B257&lt;=0,G256,G256+D257)</f>
        <v/>
      </c>
    </row>
    <row r="258">
      <c r="A258" t="n">
        <v>255</v>
      </c>
      <c r="B258" s="15">
        <f>IF(F257&lt;=0,0,F257)</f>
        <v/>
      </c>
      <c r="C258" s="15">
        <f>IF(B258&lt;=0,0,MIN(Assumptions!$B$14,B258+D258))</f>
        <v/>
      </c>
      <c r="D258" s="15">
        <f>IF(B258&lt;=0,0,B258*Assumptions!$B$6/12)</f>
        <v/>
      </c>
      <c r="E258" s="15">
        <f>IF(B258&lt;=0,0,C258-D258)</f>
        <v/>
      </c>
      <c r="F258" s="15">
        <f>IF(B258&lt;=0,0,B258-E258)</f>
        <v/>
      </c>
      <c r="G258" s="15">
        <f>IF(B258&lt;=0,G257,G257+D258)</f>
        <v/>
      </c>
    </row>
    <row r="259">
      <c r="A259" t="n">
        <v>256</v>
      </c>
      <c r="B259" s="15">
        <f>IF(F258&lt;=0,0,F258)</f>
        <v/>
      </c>
      <c r="C259" s="15">
        <f>IF(B259&lt;=0,0,MIN(Assumptions!$B$14,B259+D259))</f>
        <v/>
      </c>
      <c r="D259" s="15">
        <f>IF(B259&lt;=0,0,B259*Assumptions!$B$6/12)</f>
        <v/>
      </c>
      <c r="E259" s="15">
        <f>IF(B259&lt;=0,0,C259-D259)</f>
        <v/>
      </c>
      <c r="F259" s="15">
        <f>IF(B259&lt;=0,0,B259-E259)</f>
        <v/>
      </c>
      <c r="G259" s="15">
        <f>IF(B259&lt;=0,G258,G258+D259)</f>
        <v/>
      </c>
    </row>
    <row r="260">
      <c r="A260" t="n">
        <v>257</v>
      </c>
      <c r="B260" s="15">
        <f>IF(F259&lt;=0,0,F259)</f>
        <v/>
      </c>
      <c r="C260" s="15">
        <f>IF(B260&lt;=0,0,MIN(Assumptions!$B$14,B260+D260))</f>
        <v/>
      </c>
      <c r="D260" s="15">
        <f>IF(B260&lt;=0,0,B260*Assumptions!$B$6/12)</f>
        <v/>
      </c>
      <c r="E260" s="15">
        <f>IF(B260&lt;=0,0,C260-D260)</f>
        <v/>
      </c>
      <c r="F260" s="15">
        <f>IF(B260&lt;=0,0,B260-E260)</f>
        <v/>
      </c>
      <c r="G260" s="15">
        <f>IF(B260&lt;=0,G259,G259+D260)</f>
        <v/>
      </c>
    </row>
    <row r="261">
      <c r="A261" t="n">
        <v>258</v>
      </c>
      <c r="B261" s="15">
        <f>IF(F260&lt;=0,0,F260)</f>
        <v/>
      </c>
      <c r="C261" s="15">
        <f>IF(B261&lt;=0,0,MIN(Assumptions!$B$14,B261+D261))</f>
        <v/>
      </c>
      <c r="D261" s="15">
        <f>IF(B261&lt;=0,0,B261*Assumptions!$B$6/12)</f>
        <v/>
      </c>
      <c r="E261" s="15">
        <f>IF(B261&lt;=0,0,C261-D261)</f>
        <v/>
      </c>
      <c r="F261" s="15">
        <f>IF(B261&lt;=0,0,B261-E261)</f>
        <v/>
      </c>
      <c r="G261" s="15">
        <f>IF(B261&lt;=0,G260,G260+D261)</f>
        <v/>
      </c>
    </row>
    <row r="262">
      <c r="A262" t="n">
        <v>259</v>
      </c>
      <c r="B262" s="15">
        <f>IF(F261&lt;=0,0,F261)</f>
        <v/>
      </c>
      <c r="C262" s="15">
        <f>IF(B262&lt;=0,0,MIN(Assumptions!$B$14,B262+D262))</f>
        <v/>
      </c>
      <c r="D262" s="15">
        <f>IF(B262&lt;=0,0,B262*Assumptions!$B$6/12)</f>
        <v/>
      </c>
      <c r="E262" s="15">
        <f>IF(B262&lt;=0,0,C262-D262)</f>
        <v/>
      </c>
      <c r="F262" s="15">
        <f>IF(B262&lt;=0,0,B262-E262)</f>
        <v/>
      </c>
      <c r="G262" s="15">
        <f>IF(B262&lt;=0,G261,G261+D262)</f>
        <v/>
      </c>
    </row>
    <row r="263">
      <c r="A263" t="n">
        <v>260</v>
      </c>
      <c r="B263" s="15">
        <f>IF(F262&lt;=0,0,F262)</f>
        <v/>
      </c>
      <c r="C263" s="15">
        <f>IF(B263&lt;=0,0,MIN(Assumptions!$B$14,B263+D263))</f>
        <v/>
      </c>
      <c r="D263" s="15">
        <f>IF(B263&lt;=0,0,B263*Assumptions!$B$6/12)</f>
        <v/>
      </c>
      <c r="E263" s="15">
        <f>IF(B263&lt;=0,0,C263-D263)</f>
        <v/>
      </c>
      <c r="F263" s="15">
        <f>IF(B263&lt;=0,0,B263-E263)</f>
        <v/>
      </c>
      <c r="G263" s="15">
        <f>IF(B263&lt;=0,G262,G262+D263)</f>
        <v/>
      </c>
    </row>
    <row r="264">
      <c r="A264" t="n">
        <v>261</v>
      </c>
      <c r="B264" s="15">
        <f>IF(F263&lt;=0,0,F263)</f>
        <v/>
      </c>
      <c r="C264" s="15">
        <f>IF(B264&lt;=0,0,MIN(Assumptions!$B$14,B264+D264))</f>
        <v/>
      </c>
      <c r="D264" s="15">
        <f>IF(B264&lt;=0,0,B264*Assumptions!$B$6/12)</f>
        <v/>
      </c>
      <c r="E264" s="15">
        <f>IF(B264&lt;=0,0,C264-D264)</f>
        <v/>
      </c>
      <c r="F264" s="15">
        <f>IF(B264&lt;=0,0,B264-E264)</f>
        <v/>
      </c>
      <c r="G264" s="15">
        <f>IF(B264&lt;=0,G263,G263+D264)</f>
        <v/>
      </c>
    </row>
    <row r="265">
      <c r="A265" t="n">
        <v>262</v>
      </c>
      <c r="B265" s="15">
        <f>IF(F264&lt;=0,0,F264)</f>
        <v/>
      </c>
      <c r="C265" s="15">
        <f>IF(B265&lt;=0,0,MIN(Assumptions!$B$14,B265+D265))</f>
        <v/>
      </c>
      <c r="D265" s="15">
        <f>IF(B265&lt;=0,0,B265*Assumptions!$B$6/12)</f>
        <v/>
      </c>
      <c r="E265" s="15">
        <f>IF(B265&lt;=0,0,C265-D265)</f>
        <v/>
      </c>
      <c r="F265" s="15">
        <f>IF(B265&lt;=0,0,B265-E265)</f>
        <v/>
      </c>
      <c r="G265" s="15">
        <f>IF(B265&lt;=0,G264,G264+D265)</f>
        <v/>
      </c>
    </row>
    <row r="266">
      <c r="A266" t="n">
        <v>263</v>
      </c>
      <c r="B266" s="15">
        <f>IF(F265&lt;=0,0,F265)</f>
        <v/>
      </c>
      <c r="C266" s="15">
        <f>IF(B266&lt;=0,0,MIN(Assumptions!$B$14,B266+D266))</f>
        <v/>
      </c>
      <c r="D266" s="15">
        <f>IF(B266&lt;=0,0,B266*Assumptions!$B$6/12)</f>
        <v/>
      </c>
      <c r="E266" s="15">
        <f>IF(B266&lt;=0,0,C266-D266)</f>
        <v/>
      </c>
      <c r="F266" s="15">
        <f>IF(B266&lt;=0,0,B266-E266)</f>
        <v/>
      </c>
      <c r="G266" s="15">
        <f>IF(B266&lt;=0,G265,G265+D266)</f>
        <v/>
      </c>
    </row>
    <row r="267">
      <c r="A267" t="n">
        <v>264</v>
      </c>
      <c r="B267" s="15">
        <f>IF(F266&lt;=0,0,F266)</f>
        <v/>
      </c>
      <c r="C267" s="15">
        <f>IF(B267&lt;=0,0,MIN(Assumptions!$B$14,B267+D267))</f>
        <v/>
      </c>
      <c r="D267" s="15">
        <f>IF(B267&lt;=0,0,B267*Assumptions!$B$6/12)</f>
        <v/>
      </c>
      <c r="E267" s="15">
        <f>IF(B267&lt;=0,0,C267-D267)</f>
        <v/>
      </c>
      <c r="F267" s="15">
        <f>IF(B267&lt;=0,0,B267-E267)</f>
        <v/>
      </c>
      <c r="G267" s="15">
        <f>IF(B267&lt;=0,G266,G266+D267)</f>
        <v/>
      </c>
    </row>
    <row r="268">
      <c r="A268" t="n">
        <v>265</v>
      </c>
      <c r="B268" s="15">
        <f>IF(F267&lt;=0,0,F267)</f>
        <v/>
      </c>
      <c r="C268" s="15">
        <f>IF(B268&lt;=0,0,MIN(Assumptions!$B$14,B268+D268))</f>
        <v/>
      </c>
      <c r="D268" s="15">
        <f>IF(B268&lt;=0,0,B268*Assumptions!$B$6/12)</f>
        <v/>
      </c>
      <c r="E268" s="15">
        <f>IF(B268&lt;=0,0,C268-D268)</f>
        <v/>
      </c>
      <c r="F268" s="15">
        <f>IF(B268&lt;=0,0,B268-E268)</f>
        <v/>
      </c>
      <c r="G268" s="15">
        <f>IF(B268&lt;=0,G267,G267+D268)</f>
        <v/>
      </c>
    </row>
    <row r="269">
      <c r="A269" t="n">
        <v>266</v>
      </c>
      <c r="B269" s="15">
        <f>IF(F268&lt;=0,0,F268)</f>
        <v/>
      </c>
      <c r="C269" s="15">
        <f>IF(B269&lt;=0,0,MIN(Assumptions!$B$14,B269+D269))</f>
        <v/>
      </c>
      <c r="D269" s="15">
        <f>IF(B269&lt;=0,0,B269*Assumptions!$B$6/12)</f>
        <v/>
      </c>
      <c r="E269" s="15">
        <f>IF(B269&lt;=0,0,C269-D269)</f>
        <v/>
      </c>
      <c r="F269" s="15">
        <f>IF(B269&lt;=0,0,B269-E269)</f>
        <v/>
      </c>
      <c r="G269" s="15">
        <f>IF(B269&lt;=0,G268,G268+D269)</f>
        <v/>
      </c>
    </row>
    <row r="270">
      <c r="A270" t="n">
        <v>267</v>
      </c>
      <c r="B270" s="15">
        <f>IF(F269&lt;=0,0,F269)</f>
        <v/>
      </c>
      <c r="C270" s="15">
        <f>IF(B270&lt;=0,0,MIN(Assumptions!$B$14,B270+D270))</f>
        <v/>
      </c>
      <c r="D270" s="15">
        <f>IF(B270&lt;=0,0,B270*Assumptions!$B$6/12)</f>
        <v/>
      </c>
      <c r="E270" s="15">
        <f>IF(B270&lt;=0,0,C270-D270)</f>
        <v/>
      </c>
      <c r="F270" s="15">
        <f>IF(B270&lt;=0,0,B270-E270)</f>
        <v/>
      </c>
      <c r="G270" s="15">
        <f>IF(B270&lt;=0,G269,G269+D270)</f>
        <v/>
      </c>
    </row>
    <row r="271">
      <c r="A271" t="n">
        <v>268</v>
      </c>
      <c r="B271" s="15">
        <f>IF(F270&lt;=0,0,F270)</f>
        <v/>
      </c>
      <c r="C271" s="15">
        <f>IF(B271&lt;=0,0,MIN(Assumptions!$B$14,B271+D271))</f>
        <v/>
      </c>
      <c r="D271" s="15">
        <f>IF(B271&lt;=0,0,B271*Assumptions!$B$6/12)</f>
        <v/>
      </c>
      <c r="E271" s="15">
        <f>IF(B271&lt;=0,0,C271-D271)</f>
        <v/>
      </c>
      <c r="F271" s="15">
        <f>IF(B271&lt;=0,0,B271-E271)</f>
        <v/>
      </c>
      <c r="G271" s="15">
        <f>IF(B271&lt;=0,G270,G270+D271)</f>
        <v/>
      </c>
    </row>
    <row r="272">
      <c r="A272" t="n">
        <v>269</v>
      </c>
      <c r="B272" s="15">
        <f>IF(F271&lt;=0,0,F271)</f>
        <v/>
      </c>
      <c r="C272" s="15">
        <f>IF(B272&lt;=0,0,MIN(Assumptions!$B$14,B272+D272))</f>
        <v/>
      </c>
      <c r="D272" s="15">
        <f>IF(B272&lt;=0,0,B272*Assumptions!$B$6/12)</f>
        <v/>
      </c>
      <c r="E272" s="15">
        <f>IF(B272&lt;=0,0,C272-D272)</f>
        <v/>
      </c>
      <c r="F272" s="15">
        <f>IF(B272&lt;=0,0,B272-E272)</f>
        <v/>
      </c>
      <c r="G272" s="15">
        <f>IF(B272&lt;=0,G271,G271+D272)</f>
        <v/>
      </c>
    </row>
    <row r="273">
      <c r="A273" t="n">
        <v>270</v>
      </c>
      <c r="B273" s="15">
        <f>IF(F272&lt;=0,0,F272)</f>
        <v/>
      </c>
      <c r="C273" s="15">
        <f>IF(B273&lt;=0,0,MIN(Assumptions!$B$14,B273+D273))</f>
        <v/>
      </c>
      <c r="D273" s="15">
        <f>IF(B273&lt;=0,0,B273*Assumptions!$B$6/12)</f>
        <v/>
      </c>
      <c r="E273" s="15">
        <f>IF(B273&lt;=0,0,C273-D273)</f>
        <v/>
      </c>
      <c r="F273" s="15">
        <f>IF(B273&lt;=0,0,B273-E273)</f>
        <v/>
      </c>
      <c r="G273" s="15">
        <f>IF(B273&lt;=0,G272,G272+D273)</f>
        <v/>
      </c>
    </row>
    <row r="274">
      <c r="A274" t="n">
        <v>271</v>
      </c>
      <c r="B274" s="15">
        <f>IF(F273&lt;=0,0,F273)</f>
        <v/>
      </c>
      <c r="C274" s="15">
        <f>IF(B274&lt;=0,0,MIN(Assumptions!$B$14,B274+D274))</f>
        <v/>
      </c>
      <c r="D274" s="15">
        <f>IF(B274&lt;=0,0,B274*Assumptions!$B$6/12)</f>
        <v/>
      </c>
      <c r="E274" s="15">
        <f>IF(B274&lt;=0,0,C274-D274)</f>
        <v/>
      </c>
      <c r="F274" s="15">
        <f>IF(B274&lt;=0,0,B274-E274)</f>
        <v/>
      </c>
      <c r="G274" s="15">
        <f>IF(B274&lt;=0,G273,G273+D274)</f>
        <v/>
      </c>
    </row>
    <row r="275">
      <c r="A275" t="n">
        <v>272</v>
      </c>
      <c r="B275" s="15">
        <f>IF(F274&lt;=0,0,F274)</f>
        <v/>
      </c>
      <c r="C275" s="15">
        <f>IF(B275&lt;=0,0,MIN(Assumptions!$B$14,B275+D275))</f>
        <v/>
      </c>
      <c r="D275" s="15">
        <f>IF(B275&lt;=0,0,B275*Assumptions!$B$6/12)</f>
        <v/>
      </c>
      <c r="E275" s="15">
        <f>IF(B275&lt;=0,0,C275-D275)</f>
        <v/>
      </c>
      <c r="F275" s="15">
        <f>IF(B275&lt;=0,0,B275-E275)</f>
        <v/>
      </c>
      <c r="G275" s="15">
        <f>IF(B275&lt;=0,G274,G274+D275)</f>
        <v/>
      </c>
    </row>
    <row r="276">
      <c r="A276" t="n">
        <v>273</v>
      </c>
      <c r="B276" s="15">
        <f>IF(F275&lt;=0,0,F275)</f>
        <v/>
      </c>
      <c r="C276" s="15">
        <f>IF(B276&lt;=0,0,MIN(Assumptions!$B$14,B276+D276))</f>
        <v/>
      </c>
      <c r="D276" s="15">
        <f>IF(B276&lt;=0,0,B276*Assumptions!$B$6/12)</f>
        <v/>
      </c>
      <c r="E276" s="15">
        <f>IF(B276&lt;=0,0,C276-D276)</f>
        <v/>
      </c>
      <c r="F276" s="15">
        <f>IF(B276&lt;=0,0,B276-E276)</f>
        <v/>
      </c>
      <c r="G276" s="15">
        <f>IF(B276&lt;=0,G275,G275+D276)</f>
        <v/>
      </c>
    </row>
    <row r="277">
      <c r="A277" t="n">
        <v>274</v>
      </c>
      <c r="B277" s="15">
        <f>IF(F276&lt;=0,0,F276)</f>
        <v/>
      </c>
      <c r="C277" s="15">
        <f>IF(B277&lt;=0,0,MIN(Assumptions!$B$14,B277+D277))</f>
        <v/>
      </c>
      <c r="D277" s="15">
        <f>IF(B277&lt;=0,0,B277*Assumptions!$B$6/12)</f>
        <v/>
      </c>
      <c r="E277" s="15">
        <f>IF(B277&lt;=0,0,C277-D277)</f>
        <v/>
      </c>
      <c r="F277" s="15">
        <f>IF(B277&lt;=0,0,B277-E277)</f>
        <v/>
      </c>
      <c r="G277" s="15">
        <f>IF(B277&lt;=0,G276,G276+D277)</f>
        <v/>
      </c>
    </row>
    <row r="278">
      <c r="A278" t="n">
        <v>275</v>
      </c>
      <c r="B278" s="15">
        <f>IF(F277&lt;=0,0,F277)</f>
        <v/>
      </c>
      <c r="C278" s="15">
        <f>IF(B278&lt;=0,0,MIN(Assumptions!$B$14,B278+D278))</f>
        <v/>
      </c>
      <c r="D278" s="15">
        <f>IF(B278&lt;=0,0,B278*Assumptions!$B$6/12)</f>
        <v/>
      </c>
      <c r="E278" s="15">
        <f>IF(B278&lt;=0,0,C278-D278)</f>
        <v/>
      </c>
      <c r="F278" s="15">
        <f>IF(B278&lt;=0,0,B278-E278)</f>
        <v/>
      </c>
      <c r="G278" s="15">
        <f>IF(B278&lt;=0,G277,G277+D278)</f>
        <v/>
      </c>
    </row>
    <row r="279">
      <c r="A279" t="n">
        <v>276</v>
      </c>
      <c r="B279" s="15">
        <f>IF(F278&lt;=0,0,F278)</f>
        <v/>
      </c>
      <c r="C279" s="15">
        <f>IF(B279&lt;=0,0,MIN(Assumptions!$B$14,B279+D279))</f>
        <v/>
      </c>
      <c r="D279" s="15">
        <f>IF(B279&lt;=0,0,B279*Assumptions!$B$6/12)</f>
        <v/>
      </c>
      <c r="E279" s="15">
        <f>IF(B279&lt;=0,0,C279-D279)</f>
        <v/>
      </c>
      <c r="F279" s="15">
        <f>IF(B279&lt;=0,0,B279-E279)</f>
        <v/>
      </c>
      <c r="G279" s="15">
        <f>IF(B279&lt;=0,G278,G278+D279)</f>
        <v/>
      </c>
    </row>
    <row r="280">
      <c r="A280" t="n">
        <v>277</v>
      </c>
      <c r="B280" s="15">
        <f>IF(F279&lt;=0,0,F279)</f>
        <v/>
      </c>
      <c r="C280" s="15">
        <f>IF(B280&lt;=0,0,MIN(Assumptions!$B$14,B280+D280))</f>
        <v/>
      </c>
      <c r="D280" s="15">
        <f>IF(B280&lt;=0,0,B280*Assumptions!$B$6/12)</f>
        <v/>
      </c>
      <c r="E280" s="15">
        <f>IF(B280&lt;=0,0,C280-D280)</f>
        <v/>
      </c>
      <c r="F280" s="15">
        <f>IF(B280&lt;=0,0,B280-E280)</f>
        <v/>
      </c>
      <c r="G280" s="15">
        <f>IF(B280&lt;=0,G279,G279+D280)</f>
        <v/>
      </c>
    </row>
    <row r="281">
      <c r="A281" t="n">
        <v>278</v>
      </c>
      <c r="B281" s="15">
        <f>IF(F280&lt;=0,0,F280)</f>
        <v/>
      </c>
      <c r="C281" s="15">
        <f>IF(B281&lt;=0,0,MIN(Assumptions!$B$14,B281+D281))</f>
        <v/>
      </c>
      <c r="D281" s="15">
        <f>IF(B281&lt;=0,0,B281*Assumptions!$B$6/12)</f>
        <v/>
      </c>
      <c r="E281" s="15">
        <f>IF(B281&lt;=0,0,C281-D281)</f>
        <v/>
      </c>
      <c r="F281" s="15">
        <f>IF(B281&lt;=0,0,B281-E281)</f>
        <v/>
      </c>
      <c r="G281" s="15">
        <f>IF(B281&lt;=0,G280,G280+D281)</f>
        <v/>
      </c>
    </row>
    <row r="282">
      <c r="A282" t="n">
        <v>279</v>
      </c>
      <c r="B282" s="15">
        <f>IF(F281&lt;=0,0,F281)</f>
        <v/>
      </c>
      <c r="C282" s="15">
        <f>IF(B282&lt;=0,0,MIN(Assumptions!$B$14,B282+D282))</f>
        <v/>
      </c>
      <c r="D282" s="15">
        <f>IF(B282&lt;=0,0,B282*Assumptions!$B$6/12)</f>
        <v/>
      </c>
      <c r="E282" s="15">
        <f>IF(B282&lt;=0,0,C282-D282)</f>
        <v/>
      </c>
      <c r="F282" s="15">
        <f>IF(B282&lt;=0,0,B282-E282)</f>
        <v/>
      </c>
      <c r="G282" s="15">
        <f>IF(B282&lt;=0,G281,G281+D282)</f>
        <v/>
      </c>
    </row>
    <row r="283">
      <c r="A283" t="n">
        <v>280</v>
      </c>
      <c r="B283" s="15">
        <f>IF(F282&lt;=0,0,F282)</f>
        <v/>
      </c>
      <c r="C283" s="15">
        <f>IF(B283&lt;=0,0,MIN(Assumptions!$B$14,B283+D283))</f>
        <v/>
      </c>
      <c r="D283" s="15">
        <f>IF(B283&lt;=0,0,B283*Assumptions!$B$6/12)</f>
        <v/>
      </c>
      <c r="E283" s="15">
        <f>IF(B283&lt;=0,0,C283-D283)</f>
        <v/>
      </c>
      <c r="F283" s="15">
        <f>IF(B283&lt;=0,0,B283-E283)</f>
        <v/>
      </c>
      <c r="G283" s="15">
        <f>IF(B283&lt;=0,G282,G282+D283)</f>
        <v/>
      </c>
    </row>
    <row r="284">
      <c r="A284" t="n">
        <v>281</v>
      </c>
      <c r="B284" s="15">
        <f>IF(F283&lt;=0,0,F283)</f>
        <v/>
      </c>
      <c r="C284" s="15">
        <f>IF(B284&lt;=0,0,MIN(Assumptions!$B$14,B284+D284))</f>
        <v/>
      </c>
      <c r="D284" s="15">
        <f>IF(B284&lt;=0,0,B284*Assumptions!$B$6/12)</f>
        <v/>
      </c>
      <c r="E284" s="15">
        <f>IF(B284&lt;=0,0,C284-D284)</f>
        <v/>
      </c>
      <c r="F284" s="15">
        <f>IF(B284&lt;=0,0,B284-E284)</f>
        <v/>
      </c>
      <c r="G284" s="15">
        <f>IF(B284&lt;=0,G283,G283+D284)</f>
        <v/>
      </c>
    </row>
    <row r="285">
      <c r="A285" t="n">
        <v>282</v>
      </c>
      <c r="B285" s="15">
        <f>IF(F284&lt;=0,0,F284)</f>
        <v/>
      </c>
      <c r="C285" s="15">
        <f>IF(B285&lt;=0,0,MIN(Assumptions!$B$14,B285+D285))</f>
        <v/>
      </c>
      <c r="D285" s="15">
        <f>IF(B285&lt;=0,0,B285*Assumptions!$B$6/12)</f>
        <v/>
      </c>
      <c r="E285" s="15">
        <f>IF(B285&lt;=0,0,C285-D285)</f>
        <v/>
      </c>
      <c r="F285" s="15">
        <f>IF(B285&lt;=0,0,B285-E285)</f>
        <v/>
      </c>
      <c r="G285" s="15">
        <f>IF(B285&lt;=0,G284,G284+D285)</f>
        <v/>
      </c>
    </row>
    <row r="286">
      <c r="A286" t="n">
        <v>283</v>
      </c>
      <c r="B286" s="15">
        <f>IF(F285&lt;=0,0,F285)</f>
        <v/>
      </c>
      <c r="C286" s="15">
        <f>IF(B286&lt;=0,0,MIN(Assumptions!$B$14,B286+D286))</f>
        <v/>
      </c>
      <c r="D286" s="15">
        <f>IF(B286&lt;=0,0,B286*Assumptions!$B$6/12)</f>
        <v/>
      </c>
      <c r="E286" s="15">
        <f>IF(B286&lt;=0,0,C286-D286)</f>
        <v/>
      </c>
      <c r="F286" s="15">
        <f>IF(B286&lt;=0,0,B286-E286)</f>
        <v/>
      </c>
      <c r="G286" s="15">
        <f>IF(B286&lt;=0,G285,G285+D286)</f>
        <v/>
      </c>
    </row>
    <row r="287">
      <c r="A287" t="n">
        <v>284</v>
      </c>
      <c r="B287" s="15">
        <f>IF(F286&lt;=0,0,F286)</f>
        <v/>
      </c>
      <c r="C287" s="15">
        <f>IF(B287&lt;=0,0,MIN(Assumptions!$B$14,B287+D287))</f>
        <v/>
      </c>
      <c r="D287" s="15">
        <f>IF(B287&lt;=0,0,B287*Assumptions!$B$6/12)</f>
        <v/>
      </c>
      <c r="E287" s="15">
        <f>IF(B287&lt;=0,0,C287-D287)</f>
        <v/>
      </c>
      <c r="F287" s="15">
        <f>IF(B287&lt;=0,0,B287-E287)</f>
        <v/>
      </c>
      <c r="G287" s="15">
        <f>IF(B287&lt;=0,G286,G286+D287)</f>
        <v/>
      </c>
    </row>
    <row r="288">
      <c r="A288" t="n">
        <v>285</v>
      </c>
      <c r="B288" s="15">
        <f>IF(F287&lt;=0,0,F287)</f>
        <v/>
      </c>
      <c r="C288" s="15">
        <f>IF(B288&lt;=0,0,MIN(Assumptions!$B$14,B288+D288))</f>
        <v/>
      </c>
      <c r="D288" s="15">
        <f>IF(B288&lt;=0,0,B288*Assumptions!$B$6/12)</f>
        <v/>
      </c>
      <c r="E288" s="15">
        <f>IF(B288&lt;=0,0,C288-D288)</f>
        <v/>
      </c>
      <c r="F288" s="15">
        <f>IF(B288&lt;=0,0,B288-E288)</f>
        <v/>
      </c>
      <c r="G288" s="15">
        <f>IF(B288&lt;=0,G287,G287+D288)</f>
        <v/>
      </c>
    </row>
    <row r="289">
      <c r="A289" t="n">
        <v>286</v>
      </c>
      <c r="B289" s="15">
        <f>IF(F288&lt;=0,0,F288)</f>
        <v/>
      </c>
      <c r="C289" s="15">
        <f>IF(B289&lt;=0,0,MIN(Assumptions!$B$14,B289+D289))</f>
        <v/>
      </c>
      <c r="D289" s="15">
        <f>IF(B289&lt;=0,0,B289*Assumptions!$B$6/12)</f>
        <v/>
      </c>
      <c r="E289" s="15">
        <f>IF(B289&lt;=0,0,C289-D289)</f>
        <v/>
      </c>
      <c r="F289" s="15">
        <f>IF(B289&lt;=0,0,B289-E289)</f>
        <v/>
      </c>
      <c r="G289" s="15">
        <f>IF(B289&lt;=0,G288,G288+D289)</f>
        <v/>
      </c>
    </row>
    <row r="290">
      <c r="A290" t="n">
        <v>287</v>
      </c>
      <c r="B290" s="15">
        <f>IF(F289&lt;=0,0,F289)</f>
        <v/>
      </c>
      <c r="C290" s="15">
        <f>IF(B290&lt;=0,0,MIN(Assumptions!$B$14,B290+D290))</f>
        <v/>
      </c>
      <c r="D290" s="15">
        <f>IF(B290&lt;=0,0,B290*Assumptions!$B$6/12)</f>
        <v/>
      </c>
      <c r="E290" s="15">
        <f>IF(B290&lt;=0,0,C290-D290)</f>
        <v/>
      </c>
      <c r="F290" s="15">
        <f>IF(B290&lt;=0,0,B290-E290)</f>
        <v/>
      </c>
      <c r="G290" s="15">
        <f>IF(B290&lt;=0,G289,G289+D290)</f>
        <v/>
      </c>
    </row>
    <row r="291">
      <c r="A291" t="n">
        <v>288</v>
      </c>
      <c r="B291" s="15">
        <f>IF(F290&lt;=0,0,F290)</f>
        <v/>
      </c>
      <c r="C291" s="15">
        <f>IF(B291&lt;=0,0,MIN(Assumptions!$B$14,B291+D291))</f>
        <v/>
      </c>
      <c r="D291" s="15">
        <f>IF(B291&lt;=0,0,B291*Assumptions!$B$6/12)</f>
        <v/>
      </c>
      <c r="E291" s="15">
        <f>IF(B291&lt;=0,0,C291-D291)</f>
        <v/>
      </c>
      <c r="F291" s="15">
        <f>IF(B291&lt;=0,0,B291-E291)</f>
        <v/>
      </c>
      <c r="G291" s="15">
        <f>IF(B291&lt;=0,G290,G290+D291)</f>
        <v/>
      </c>
    </row>
    <row r="292">
      <c r="A292" t="n">
        <v>289</v>
      </c>
      <c r="B292" s="15">
        <f>IF(F291&lt;=0,0,F291)</f>
        <v/>
      </c>
      <c r="C292" s="15">
        <f>IF(B292&lt;=0,0,MIN(Assumptions!$B$14,B292+D292))</f>
        <v/>
      </c>
      <c r="D292" s="15">
        <f>IF(B292&lt;=0,0,B292*Assumptions!$B$6/12)</f>
        <v/>
      </c>
      <c r="E292" s="15">
        <f>IF(B292&lt;=0,0,C292-D292)</f>
        <v/>
      </c>
      <c r="F292" s="15">
        <f>IF(B292&lt;=0,0,B292-E292)</f>
        <v/>
      </c>
      <c r="G292" s="15">
        <f>IF(B292&lt;=0,G291,G291+D292)</f>
        <v/>
      </c>
    </row>
    <row r="293">
      <c r="A293" t="n">
        <v>290</v>
      </c>
      <c r="B293" s="15">
        <f>IF(F292&lt;=0,0,F292)</f>
        <v/>
      </c>
      <c r="C293" s="15">
        <f>IF(B293&lt;=0,0,MIN(Assumptions!$B$14,B293+D293))</f>
        <v/>
      </c>
      <c r="D293" s="15">
        <f>IF(B293&lt;=0,0,B293*Assumptions!$B$6/12)</f>
        <v/>
      </c>
      <c r="E293" s="15">
        <f>IF(B293&lt;=0,0,C293-D293)</f>
        <v/>
      </c>
      <c r="F293" s="15">
        <f>IF(B293&lt;=0,0,B293-E293)</f>
        <v/>
      </c>
      <c r="G293" s="15">
        <f>IF(B293&lt;=0,G292,G292+D293)</f>
        <v/>
      </c>
    </row>
    <row r="294">
      <c r="A294" t="n">
        <v>291</v>
      </c>
      <c r="B294" s="15">
        <f>IF(F293&lt;=0,0,F293)</f>
        <v/>
      </c>
      <c r="C294" s="15">
        <f>IF(B294&lt;=0,0,MIN(Assumptions!$B$14,B294+D294))</f>
        <v/>
      </c>
      <c r="D294" s="15">
        <f>IF(B294&lt;=0,0,B294*Assumptions!$B$6/12)</f>
        <v/>
      </c>
      <c r="E294" s="15">
        <f>IF(B294&lt;=0,0,C294-D294)</f>
        <v/>
      </c>
      <c r="F294" s="15">
        <f>IF(B294&lt;=0,0,B294-E294)</f>
        <v/>
      </c>
      <c r="G294" s="15">
        <f>IF(B294&lt;=0,G293,G293+D294)</f>
        <v/>
      </c>
    </row>
    <row r="295">
      <c r="A295" t="n">
        <v>292</v>
      </c>
      <c r="B295" s="15">
        <f>IF(F294&lt;=0,0,F294)</f>
        <v/>
      </c>
      <c r="C295" s="15">
        <f>IF(B295&lt;=0,0,MIN(Assumptions!$B$14,B295+D295))</f>
        <v/>
      </c>
      <c r="D295" s="15">
        <f>IF(B295&lt;=0,0,B295*Assumptions!$B$6/12)</f>
        <v/>
      </c>
      <c r="E295" s="15">
        <f>IF(B295&lt;=0,0,C295-D295)</f>
        <v/>
      </c>
      <c r="F295" s="15">
        <f>IF(B295&lt;=0,0,B295-E295)</f>
        <v/>
      </c>
      <c r="G295" s="15">
        <f>IF(B295&lt;=0,G294,G294+D295)</f>
        <v/>
      </c>
    </row>
    <row r="296">
      <c r="A296" t="n">
        <v>293</v>
      </c>
      <c r="B296" s="15">
        <f>IF(F295&lt;=0,0,F295)</f>
        <v/>
      </c>
      <c r="C296" s="15">
        <f>IF(B296&lt;=0,0,MIN(Assumptions!$B$14,B296+D296))</f>
        <v/>
      </c>
      <c r="D296" s="15">
        <f>IF(B296&lt;=0,0,B296*Assumptions!$B$6/12)</f>
        <v/>
      </c>
      <c r="E296" s="15">
        <f>IF(B296&lt;=0,0,C296-D296)</f>
        <v/>
      </c>
      <c r="F296" s="15">
        <f>IF(B296&lt;=0,0,B296-E296)</f>
        <v/>
      </c>
      <c r="G296" s="15">
        <f>IF(B296&lt;=0,G295,G295+D296)</f>
        <v/>
      </c>
    </row>
    <row r="297">
      <c r="A297" t="n">
        <v>294</v>
      </c>
      <c r="B297" s="15">
        <f>IF(F296&lt;=0,0,F296)</f>
        <v/>
      </c>
      <c r="C297" s="15">
        <f>IF(B297&lt;=0,0,MIN(Assumptions!$B$14,B297+D297))</f>
        <v/>
      </c>
      <c r="D297" s="15">
        <f>IF(B297&lt;=0,0,B297*Assumptions!$B$6/12)</f>
        <v/>
      </c>
      <c r="E297" s="15">
        <f>IF(B297&lt;=0,0,C297-D297)</f>
        <v/>
      </c>
      <c r="F297" s="15">
        <f>IF(B297&lt;=0,0,B297-E297)</f>
        <v/>
      </c>
      <c r="G297" s="15">
        <f>IF(B297&lt;=0,G296,G296+D297)</f>
        <v/>
      </c>
    </row>
    <row r="298">
      <c r="A298" t="n">
        <v>295</v>
      </c>
      <c r="B298" s="15">
        <f>IF(F297&lt;=0,0,F297)</f>
        <v/>
      </c>
      <c r="C298" s="15">
        <f>IF(B298&lt;=0,0,MIN(Assumptions!$B$14,B298+D298))</f>
        <v/>
      </c>
      <c r="D298" s="15">
        <f>IF(B298&lt;=0,0,B298*Assumptions!$B$6/12)</f>
        <v/>
      </c>
      <c r="E298" s="15">
        <f>IF(B298&lt;=0,0,C298-D298)</f>
        <v/>
      </c>
      <c r="F298" s="15">
        <f>IF(B298&lt;=0,0,B298-E298)</f>
        <v/>
      </c>
      <c r="G298" s="15">
        <f>IF(B298&lt;=0,G297,G297+D298)</f>
        <v/>
      </c>
    </row>
    <row r="299">
      <c r="A299" t="n">
        <v>296</v>
      </c>
      <c r="B299" s="15">
        <f>IF(F298&lt;=0,0,F298)</f>
        <v/>
      </c>
      <c r="C299" s="15">
        <f>IF(B299&lt;=0,0,MIN(Assumptions!$B$14,B299+D299))</f>
        <v/>
      </c>
      <c r="D299" s="15">
        <f>IF(B299&lt;=0,0,B299*Assumptions!$B$6/12)</f>
        <v/>
      </c>
      <c r="E299" s="15">
        <f>IF(B299&lt;=0,0,C299-D299)</f>
        <v/>
      </c>
      <c r="F299" s="15">
        <f>IF(B299&lt;=0,0,B299-E299)</f>
        <v/>
      </c>
      <c r="G299" s="15">
        <f>IF(B299&lt;=0,G298,G298+D299)</f>
        <v/>
      </c>
    </row>
    <row r="300">
      <c r="A300" t="n">
        <v>297</v>
      </c>
      <c r="B300" s="15">
        <f>IF(F299&lt;=0,0,F299)</f>
        <v/>
      </c>
      <c r="C300" s="15">
        <f>IF(B300&lt;=0,0,MIN(Assumptions!$B$14,B300+D300))</f>
        <v/>
      </c>
      <c r="D300" s="15">
        <f>IF(B300&lt;=0,0,B300*Assumptions!$B$6/12)</f>
        <v/>
      </c>
      <c r="E300" s="15">
        <f>IF(B300&lt;=0,0,C300-D300)</f>
        <v/>
      </c>
      <c r="F300" s="15">
        <f>IF(B300&lt;=0,0,B300-E300)</f>
        <v/>
      </c>
      <c r="G300" s="15">
        <f>IF(B300&lt;=0,G299,G299+D300)</f>
        <v/>
      </c>
    </row>
    <row r="301">
      <c r="A301" t="n">
        <v>298</v>
      </c>
      <c r="B301" s="15">
        <f>IF(F300&lt;=0,0,F300)</f>
        <v/>
      </c>
      <c r="C301" s="15">
        <f>IF(B301&lt;=0,0,MIN(Assumptions!$B$14,B301+D301))</f>
        <v/>
      </c>
      <c r="D301" s="15">
        <f>IF(B301&lt;=0,0,B301*Assumptions!$B$6/12)</f>
        <v/>
      </c>
      <c r="E301" s="15">
        <f>IF(B301&lt;=0,0,C301-D301)</f>
        <v/>
      </c>
      <c r="F301" s="15">
        <f>IF(B301&lt;=0,0,B301-E301)</f>
        <v/>
      </c>
      <c r="G301" s="15">
        <f>IF(B301&lt;=0,G300,G300+D301)</f>
        <v/>
      </c>
    </row>
    <row r="302">
      <c r="A302" t="n">
        <v>299</v>
      </c>
      <c r="B302" s="15">
        <f>IF(F301&lt;=0,0,F301)</f>
        <v/>
      </c>
      <c r="C302" s="15">
        <f>IF(B302&lt;=0,0,MIN(Assumptions!$B$14,B302+D302))</f>
        <v/>
      </c>
      <c r="D302" s="15">
        <f>IF(B302&lt;=0,0,B302*Assumptions!$B$6/12)</f>
        <v/>
      </c>
      <c r="E302" s="15">
        <f>IF(B302&lt;=0,0,C302-D302)</f>
        <v/>
      </c>
      <c r="F302" s="15">
        <f>IF(B302&lt;=0,0,B302-E302)</f>
        <v/>
      </c>
      <c r="G302" s="15">
        <f>IF(B302&lt;=0,G301,G301+D302)</f>
        <v/>
      </c>
    </row>
    <row r="303">
      <c r="A303" t="n">
        <v>300</v>
      </c>
      <c r="B303" s="15">
        <f>IF(F302&lt;=0,0,F302)</f>
        <v/>
      </c>
      <c r="C303" s="15">
        <f>IF(B303&lt;=0,0,MIN(Assumptions!$B$14,B303+D303))</f>
        <v/>
      </c>
      <c r="D303" s="15">
        <f>IF(B303&lt;=0,0,B303*Assumptions!$B$6/12)</f>
        <v/>
      </c>
      <c r="E303" s="15">
        <f>IF(B303&lt;=0,0,C303-D303)</f>
        <v/>
      </c>
      <c r="F303" s="15">
        <f>IF(B303&lt;=0,0,B303-E303)</f>
        <v/>
      </c>
      <c r="G303" s="15">
        <f>IF(B303&lt;=0,G302,G302+D303)</f>
        <v/>
      </c>
    </row>
    <row r="304">
      <c r="A304" t="n">
        <v>301</v>
      </c>
      <c r="B304" s="15">
        <f>IF(F303&lt;=0,0,F303)</f>
        <v/>
      </c>
      <c r="C304" s="15">
        <f>IF(B304&lt;=0,0,MIN(Assumptions!$B$14,B304+D304))</f>
        <v/>
      </c>
      <c r="D304" s="15">
        <f>IF(B304&lt;=0,0,B304*Assumptions!$B$6/12)</f>
        <v/>
      </c>
      <c r="E304" s="15">
        <f>IF(B304&lt;=0,0,C304-D304)</f>
        <v/>
      </c>
      <c r="F304" s="15">
        <f>IF(B304&lt;=0,0,B304-E304)</f>
        <v/>
      </c>
      <c r="G304" s="15">
        <f>IF(B304&lt;=0,G303,G303+D304)</f>
        <v/>
      </c>
    </row>
    <row r="305">
      <c r="A305" t="n">
        <v>302</v>
      </c>
      <c r="B305" s="15">
        <f>IF(F304&lt;=0,0,F304)</f>
        <v/>
      </c>
      <c r="C305" s="15">
        <f>IF(B305&lt;=0,0,MIN(Assumptions!$B$14,B305+D305))</f>
        <v/>
      </c>
      <c r="D305" s="15">
        <f>IF(B305&lt;=0,0,B305*Assumptions!$B$6/12)</f>
        <v/>
      </c>
      <c r="E305" s="15">
        <f>IF(B305&lt;=0,0,C305-D305)</f>
        <v/>
      </c>
      <c r="F305" s="15">
        <f>IF(B305&lt;=0,0,B305-E305)</f>
        <v/>
      </c>
      <c r="G305" s="15">
        <f>IF(B305&lt;=0,G304,G304+D305)</f>
        <v/>
      </c>
    </row>
    <row r="306">
      <c r="A306" t="n">
        <v>303</v>
      </c>
      <c r="B306" s="15">
        <f>IF(F305&lt;=0,0,F305)</f>
        <v/>
      </c>
      <c r="C306" s="15">
        <f>IF(B306&lt;=0,0,MIN(Assumptions!$B$14,B306+D306))</f>
        <v/>
      </c>
      <c r="D306" s="15">
        <f>IF(B306&lt;=0,0,B306*Assumptions!$B$6/12)</f>
        <v/>
      </c>
      <c r="E306" s="15">
        <f>IF(B306&lt;=0,0,C306-D306)</f>
        <v/>
      </c>
      <c r="F306" s="15">
        <f>IF(B306&lt;=0,0,B306-E306)</f>
        <v/>
      </c>
      <c r="G306" s="15">
        <f>IF(B306&lt;=0,G305,G305+D306)</f>
        <v/>
      </c>
    </row>
    <row r="307">
      <c r="A307" t="n">
        <v>304</v>
      </c>
      <c r="B307" s="15">
        <f>IF(F306&lt;=0,0,F306)</f>
        <v/>
      </c>
      <c r="C307" s="15">
        <f>IF(B307&lt;=0,0,MIN(Assumptions!$B$14,B307+D307))</f>
        <v/>
      </c>
      <c r="D307" s="15">
        <f>IF(B307&lt;=0,0,B307*Assumptions!$B$6/12)</f>
        <v/>
      </c>
      <c r="E307" s="15">
        <f>IF(B307&lt;=0,0,C307-D307)</f>
        <v/>
      </c>
      <c r="F307" s="15">
        <f>IF(B307&lt;=0,0,B307-E307)</f>
        <v/>
      </c>
      <c r="G307" s="15">
        <f>IF(B307&lt;=0,G306,G306+D307)</f>
        <v/>
      </c>
    </row>
    <row r="308">
      <c r="A308" t="n">
        <v>305</v>
      </c>
      <c r="B308" s="15">
        <f>IF(F307&lt;=0,0,F307)</f>
        <v/>
      </c>
      <c r="C308" s="15">
        <f>IF(B308&lt;=0,0,MIN(Assumptions!$B$14,B308+D308))</f>
        <v/>
      </c>
      <c r="D308" s="15">
        <f>IF(B308&lt;=0,0,B308*Assumptions!$B$6/12)</f>
        <v/>
      </c>
      <c r="E308" s="15">
        <f>IF(B308&lt;=0,0,C308-D308)</f>
        <v/>
      </c>
      <c r="F308" s="15">
        <f>IF(B308&lt;=0,0,B308-E308)</f>
        <v/>
      </c>
      <c r="G308" s="15">
        <f>IF(B308&lt;=0,G307,G307+D308)</f>
        <v/>
      </c>
    </row>
    <row r="309">
      <c r="A309" t="n">
        <v>306</v>
      </c>
      <c r="B309" s="15">
        <f>IF(F308&lt;=0,0,F308)</f>
        <v/>
      </c>
      <c r="C309" s="15">
        <f>IF(B309&lt;=0,0,MIN(Assumptions!$B$14,B309+D309))</f>
        <v/>
      </c>
      <c r="D309" s="15">
        <f>IF(B309&lt;=0,0,B309*Assumptions!$B$6/12)</f>
        <v/>
      </c>
      <c r="E309" s="15">
        <f>IF(B309&lt;=0,0,C309-D309)</f>
        <v/>
      </c>
      <c r="F309" s="15">
        <f>IF(B309&lt;=0,0,B309-E309)</f>
        <v/>
      </c>
      <c r="G309" s="15">
        <f>IF(B309&lt;=0,G308,G308+D309)</f>
        <v/>
      </c>
    </row>
    <row r="310">
      <c r="A310" t="n">
        <v>307</v>
      </c>
      <c r="B310" s="15">
        <f>IF(F309&lt;=0,0,F309)</f>
        <v/>
      </c>
      <c r="C310" s="15">
        <f>IF(B310&lt;=0,0,MIN(Assumptions!$B$14,B310+D310))</f>
        <v/>
      </c>
      <c r="D310" s="15">
        <f>IF(B310&lt;=0,0,B310*Assumptions!$B$6/12)</f>
        <v/>
      </c>
      <c r="E310" s="15">
        <f>IF(B310&lt;=0,0,C310-D310)</f>
        <v/>
      </c>
      <c r="F310" s="15">
        <f>IF(B310&lt;=0,0,B310-E310)</f>
        <v/>
      </c>
      <c r="G310" s="15">
        <f>IF(B310&lt;=0,G309,G309+D310)</f>
        <v/>
      </c>
    </row>
    <row r="311">
      <c r="A311" t="n">
        <v>308</v>
      </c>
      <c r="B311" s="15">
        <f>IF(F310&lt;=0,0,F310)</f>
        <v/>
      </c>
      <c r="C311" s="15">
        <f>IF(B311&lt;=0,0,MIN(Assumptions!$B$14,B311+D311))</f>
        <v/>
      </c>
      <c r="D311" s="15">
        <f>IF(B311&lt;=0,0,B311*Assumptions!$B$6/12)</f>
        <v/>
      </c>
      <c r="E311" s="15">
        <f>IF(B311&lt;=0,0,C311-D311)</f>
        <v/>
      </c>
      <c r="F311" s="15">
        <f>IF(B311&lt;=0,0,B311-E311)</f>
        <v/>
      </c>
      <c r="G311" s="15">
        <f>IF(B311&lt;=0,G310,G310+D311)</f>
        <v/>
      </c>
    </row>
    <row r="312">
      <c r="A312" t="n">
        <v>309</v>
      </c>
      <c r="B312" s="15">
        <f>IF(F311&lt;=0,0,F311)</f>
        <v/>
      </c>
      <c r="C312" s="15">
        <f>IF(B312&lt;=0,0,MIN(Assumptions!$B$14,B312+D312))</f>
        <v/>
      </c>
      <c r="D312" s="15">
        <f>IF(B312&lt;=0,0,B312*Assumptions!$B$6/12)</f>
        <v/>
      </c>
      <c r="E312" s="15">
        <f>IF(B312&lt;=0,0,C312-D312)</f>
        <v/>
      </c>
      <c r="F312" s="15">
        <f>IF(B312&lt;=0,0,B312-E312)</f>
        <v/>
      </c>
      <c r="G312" s="15">
        <f>IF(B312&lt;=0,G311,G311+D312)</f>
        <v/>
      </c>
    </row>
    <row r="313">
      <c r="A313" t="n">
        <v>310</v>
      </c>
      <c r="B313" s="15">
        <f>IF(F312&lt;=0,0,F312)</f>
        <v/>
      </c>
      <c r="C313" s="15">
        <f>IF(B313&lt;=0,0,MIN(Assumptions!$B$14,B313+D313))</f>
        <v/>
      </c>
      <c r="D313" s="15">
        <f>IF(B313&lt;=0,0,B313*Assumptions!$B$6/12)</f>
        <v/>
      </c>
      <c r="E313" s="15">
        <f>IF(B313&lt;=0,0,C313-D313)</f>
        <v/>
      </c>
      <c r="F313" s="15">
        <f>IF(B313&lt;=0,0,B313-E313)</f>
        <v/>
      </c>
      <c r="G313" s="15">
        <f>IF(B313&lt;=0,G312,G312+D313)</f>
        <v/>
      </c>
    </row>
    <row r="314">
      <c r="A314" t="n">
        <v>311</v>
      </c>
      <c r="B314" s="15">
        <f>IF(F313&lt;=0,0,F313)</f>
        <v/>
      </c>
      <c r="C314" s="15">
        <f>IF(B314&lt;=0,0,MIN(Assumptions!$B$14,B314+D314))</f>
        <v/>
      </c>
      <c r="D314" s="15">
        <f>IF(B314&lt;=0,0,B314*Assumptions!$B$6/12)</f>
        <v/>
      </c>
      <c r="E314" s="15">
        <f>IF(B314&lt;=0,0,C314-D314)</f>
        <v/>
      </c>
      <c r="F314" s="15">
        <f>IF(B314&lt;=0,0,B314-E314)</f>
        <v/>
      </c>
      <c r="G314" s="15">
        <f>IF(B314&lt;=0,G313,G313+D314)</f>
        <v/>
      </c>
    </row>
    <row r="315">
      <c r="A315" t="n">
        <v>312</v>
      </c>
      <c r="B315" s="15">
        <f>IF(F314&lt;=0,0,F314)</f>
        <v/>
      </c>
      <c r="C315" s="15">
        <f>IF(B315&lt;=0,0,MIN(Assumptions!$B$14,B315+D315))</f>
        <v/>
      </c>
      <c r="D315" s="15">
        <f>IF(B315&lt;=0,0,B315*Assumptions!$B$6/12)</f>
        <v/>
      </c>
      <c r="E315" s="15">
        <f>IF(B315&lt;=0,0,C315-D315)</f>
        <v/>
      </c>
      <c r="F315" s="15">
        <f>IF(B315&lt;=0,0,B315-E315)</f>
        <v/>
      </c>
      <c r="G315" s="15">
        <f>IF(B315&lt;=0,G314,G314+D315)</f>
        <v/>
      </c>
    </row>
    <row r="316">
      <c r="A316" t="n">
        <v>313</v>
      </c>
      <c r="B316" s="15">
        <f>IF(F315&lt;=0,0,F315)</f>
        <v/>
      </c>
      <c r="C316" s="15">
        <f>IF(B316&lt;=0,0,MIN(Assumptions!$B$14,B316+D316))</f>
        <v/>
      </c>
      <c r="D316" s="15">
        <f>IF(B316&lt;=0,0,B316*Assumptions!$B$6/12)</f>
        <v/>
      </c>
      <c r="E316" s="15">
        <f>IF(B316&lt;=0,0,C316-D316)</f>
        <v/>
      </c>
      <c r="F316" s="15">
        <f>IF(B316&lt;=0,0,B316-E316)</f>
        <v/>
      </c>
      <c r="G316" s="15">
        <f>IF(B316&lt;=0,G315,G315+D316)</f>
        <v/>
      </c>
    </row>
    <row r="317">
      <c r="A317" t="n">
        <v>314</v>
      </c>
      <c r="B317" s="15">
        <f>IF(F316&lt;=0,0,F316)</f>
        <v/>
      </c>
      <c r="C317" s="15">
        <f>IF(B317&lt;=0,0,MIN(Assumptions!$B$14,B317+D317))</f>
        <v/>
      </c>
      <c r="D317" s="15">
        <f>IF(B317&lt;=0,0,B317*Assumptions!$B$6/12)</f>
        <v/>
      </c>
      <c r="E317" s="15">
        <f>IF(B317&lt;=0,0,C317-D317)</f>
        <v/>
      </c>
      <c r="F317" s="15">
        <f>IF(B317&lt;=0,0,B317-E317)</f>
        <v/>
      </c>
      <c r="G317" s="15">
        <f>IF(B317&lt;=0,G316,G316+D317)</f>
        <v/>
      </c>
    </row>
    <row r="318">
      <c r="A318" t="n">
        <v>315</v>
      </c>
      <c r="B318" s="15">
        <f>IF(F317&lt;=0,0,F317)</f>
        <v/>
      </c>
      <c r="C318" s="15">
        <f>IF(B318&lt;=0,0,MIN(Assumptions!$B$14,B318+D318))</f>
        <v/>
      </c>
      <c r="D318" s="15">
        <f>IF(B318&lt;=0,0,B318*Assumptions!$B$6/12)</f>
        <v/>
      </c>
      <c r="E318" s="15">
        <f>IF(B318&lt;=0,0,C318-D318)</f>
        <v/>
      </c>
      <c r="F318" s="15">
        <f>IF(B318&lt;=0,0,B318-E318)</f>
        <v/>
      </c>
      <c r="G318" s="15">
        <f>IF(B318&lt;=0,G317,G317+D318)</f>
        <v/>
      </c>
    </row>
    <row r="319">
      <c r="A319" t="n">
        <v>316</v>
      </c>
      <c r="B319" s="15">
        <f>IF(F318&lt;=0,0,F318)</f>
        <v/>
      </c>
      <c r="C319" s="15">
        <f>IF(B319&lt;=0,0,MIN(Assumptions!$B$14,B319+D319))</f>
        <v/>
      </c>
      <c r="D319" s="15">
        <f>IF(B319&lt;=0,0,B319*Assumptions!$B$6/12)</f>
        <v/>
      </c>
      <c r="E319" s="15">
        <f>IF(B319&lt;=0,0,C319-D319)</f>
        <v/>
      </c>
      <c r="F319" s="15">
        <f>IF(B319&lt;=0,0,B319-E319)</f>
        <v/>
      </c>
      <c r="G319" s="15">
        <f>IF(B319&lt;=0,G318,G318+D319)</f>
        <v/>
      </c>
    </row>
    <row r="320">
      <c r="A320" t="n">
        <v>317</v>
      </c>
      <c r="B320" s="15">
        <f>IF(F319&lt;=0,0,F319)</f>
        <v/>
      </c>
      <c r="C320" s="15">
        <f>IF(B320&lt;=0,0,MIN(Assumptions!$B$14,B320+D320))</f>
        <v/>
      </c>
      <c r="D320" s="15">
        <f>IF(B320&lt;=0,0,B320*Assumptions!$B$6/12)</f>
        <v/>
      </c>
      <c r="E320" s="15">
        <f>IF(B320&lt;=0,0,C320-D320)</f>
        <v/>
      </c>
      <c r="F320" s="15">
        <f>IF(B320&lt;=0,0,B320-E320)</f>
        <v/>
      </c>
      <c r="G320" s="15">
        <f>IF(B320&lt;=0,G319,G319+D320)</f>
        <v/>
      </c>
    </row>
    <row r="321">
      <c r="A321" t="n">
        <v>318</v>
      </c>
      <c r="B321" s="15">
        <f>IF(F320&lt;=0,0,F320)</f>
        <v/>
      </c>
      <c r="C321" s="15">
        <f>IF(B321&lt;=0,0,MIN(Assumptions!$B$14,B321+D321))</f>
        <v/>
      </c>
      <c r="D321" s="15">
        <f>IF(B321&lt;=0,0,B321*Assumptions!$B$6/12)</f>
        <v/>
      </c>
      <c r="E321" s="15">
        <f>IF(B321&lt;=0,0,C321-D321)</f>
        <v/>
      </c>
      <c r="F321" s="15">
        <f>IF(B321&lt;=0,0,B321-E321)</f>
        <v/>
      </c>
      <c r="G321" s="15">
        <f>IF(B321&lt;=0,G320,G320+D321)</f>
        <v/>
      </c>
    </row>
    <row r="322">
      <c r="A322" t="n">
        <v>319</v>
      </c>
      <c r="B322" s="15">
        <f>IF(F321&lt;=0,0,F321)</f>
        <v/>
      </c>
      <c r="C322" s="15">
        <f>IF(B322&lt;=0,0,MIN(Assumptions!$B$14,B322+D322))</f>
        <v/>
      </c>
      <c r="D322" s="15">
        <f>IF(B322&lt;=0,0,B322*Assumptions!$B$6/12)</f>
        <v/>
      </c>
      <c r="E322" s="15">
        <f>IF(B322&lt;=0,0,C322-D322)</f>
        <v/>
      </c>
      <c r="F322" s="15">
        <f>IF(B322&lt;=0,0,B322-E322)</f>
        <v/>
      </c>
      <c r="G322" s="15">
        <f>IF(B322&lt;=0,G321,G321+D322)</f>
        <v/>
      </c>
    </row>
    <row r="323">
      <c r="A323" t="n">
        <v>320</v>
      </c>
      <c r="B323" s="15">
        <f>IF(F322&lt;=0,0,F322)</f>
        <v/>
      </c>
      <c r="C323" s="15">
        <f>IF(B323&lt;=0,0,MIN(Assumptions!$B$14,B323+D323))</f>
        <v/>
      </c>
      <c r="D323" s="15">
        <f>IF(B323&lt;=0,0,B323*Assumptions!$B$6/12)</f>
        <v/>
      </c>
      <c r="E323" s="15">
        <f>IF(B323&lt;=0,0,C323-D323)</f>
        <v/>
      </c>
      <c r="F323" s="15">
        <f>IF(B323&lt;=0,0,B323-E323)</f>
        <v/>
      </c>
      <c r="G323" s="15">
        <f>IF(B323&lt;=0,G322,G322+D323)</f>
        <v/>
      </c>
    </row>
    <row r="324">
      <c r="A324" t="n">
        <v>321</v>
      </c>
      <c r="B324" s="15">
        <f>IF(F323&lt;=0,0,F323)</f>
        <v/>
      </c>
      <c r="C324" s="15">
        <f>IF(B324&lt;=0,0,MIN(Assumptions!$B$14,B324+D324))</f>
        <v/>
      </c>
      <c r="D324" s="15">
        <f>IF(B324&lt;=0,0,B324*Assumptions!$B$6/12)</f>
        <v/>
      </c>
      <c r="E324" s="15">
        <f>IF(B324&lt;=0,0,C324-D324)</f>
        <v/>
      </c>
      <c r="F324" s="15">
        <f>IF(B324&lt;=0,0,B324-E324)</f>
        <v/>
      </c>
      <c r="G324" s="15">
        <f>IF(B324&lt;=0,G323,G323+D324)</f>
        <v/>
      </c>
    </row>
    <row r="325">
      <c r="A325" t="n">
        <v>322</v>
      </c>
      <c r="B325" s="15">
        <f>IF(F324&lt;=0,0,F324)</f>
        <v/>
      </c>
      <c r="C325" s="15">
        <f>IF(B325&lt;=0,0,MIN(Assumptions!$B$14,B325+D325))</f>
        <v/>
      </c>
      <c r="D325" s="15">
        <f>IF(B325&lt;=0,0,B325*Assumptions!$B$6/12)</f>
        <v/>
      </c>
      <c r="E325" s="15">
        <f>IF(B325&lt;=0,0,C325-D325)</f>
        <v/>
      </c>
      <c r="F325" s="15">
        <f>IF(B325&lt;=0,0,B325-E325)</f>
        <v/>
      </c>
      <c r="G325" s="15">
        <f>IF(B325&lt;=0,G324,G324+D325)</f>
        <v/>
      </c>
    </row>
    <row r="326">
      <c r="A326" t="n">
        <v>323</v>
      </c>
      <c r="B326" s="15">
        <f>IF(F325&lt;=0,0,F325)</f>
        <v/>
      </c>
      <c r="C326" s="15">
        <f>IF(B326&lt;=0,0,MIN(Assumptions!$B$14,B326+D326))</f>
        <v/>
      </c>
      <c r="D326" s="15">
        <f>IF(B326&lt;=0,0,B326*Assumptions!$B$6/12)</f>
        <v/>
      </c>
      <c r="E326" s="15">
        <f>IF(B326&lt;=0,0,C326-D326)</f>
        <v/>
      </c>
      <c r="F326" s="15">
        <f>IF(B326&lt;=0,0,B326-E326)</f>
        <v/>
      </c>
      <c r="G326" s="15">
        <f>IF(B326&lt;=0,G325,G325+D326)</f>
        <v/>
      </c>
    </row>
    <row r="327">
      <c r="A327" t="n">
        <v>324</v>
      </c>
      <c r="B327" s="15">
        <f>IF(F326&lt;=0,0,F326)</f>
        <v/>
      </c>
      <c r="C327" s="15">
        <f>IF(B327&lt;=0,0,MIN(Assumptions!$B$14,B327+D327))</f>
        <v/>
      </c>
      <c r="D327" s="15">
        <f>IF(B327&lt;=0,0,B327*Assumptions!$B$6/12)</f>
        <v/>
      </c>
      <c r="E327" s="15">
        <f>IF(B327&lt;=0,0,C327-D327)</f>
        <v/>
      </c>
      <c r="F327" s="15">
        <f>IF(B327&lt;=0,0,B327-E327)</f>
        <v/>
      </c>
      <c r="G327" s="15">
        <f>IF(B327&lt;=0,G326,G326+D327)</f>
        <v/>
      </c>
    </row>
    <row r="328">
      <c r="A328" t="n">
        <v>325</v>
      </c>
      <c r="B328" s="15">
        <f>IF(F327&lt;=0,0,F327)</f>
        <v/>
      </c>
      <c r="C328" s="15">
        <f>IF(B328&lt;=0,0,MIN(Assumptions!$B$14,B328+D328))</f>
        <v/>
      </c>
      <c r="D328" s="15">
        <f>IF(B328&lt;=0,0,B328*Assumptions!$B$6/12)</f>
        <v/>
      </c>
      <c r="E328" s="15">
        <f>IF(B328&lt;=0,0,C328-D328)</f>
        <v/>
      </c>
      <c r="F328" s="15">
        <f>IF(B328&lt;=0,0,B328-E328)</f>
        <v/>
      </c>
      <c r="G328" s="15">
        <f>IF(B328&lt;=0,G327,G327+D328)</f>
        <v/>
      </c>
    </row>
    <row r="329">
      <c r="A329" t="n">
        <v>326</v>
      </c>
      <c r="B329" s="15">
        <f>IF(F328&lt;=0,0,F328)</f>
        <v/>
      </c>
      <c r="C329" s="15">
        <f>IF(B329&lt;=0,0,MIN(Assumptions!$B$14,B329+D329))</f>
        <v/>
      </c>
      <c r="D329" s="15">
        <f>IF(B329&lt;=0,0,B329*Assumptions!$B$6/12)</f>
        <v/>
      </c>
      <c r="E329" s="15">
        <f>IF(B329&lt;=0,0,C329-D329)</f>
        <v/>
      </c>
      <c r="F329" s="15">
        <f>IF(B329&lt;=0,0,B329-E329)</f>
        <v/>
      </c>
      <c r="G329" s="15">
        <f>IF(B329&lt;=0,G328,G328+D329)</f>
        <v/>
      </c>
    </row>
    <row r="330">
      <c r="A330" t="n">
        <v>327</v>
      </c>
      <c r="B330" s="15">
        <f>IF(F329&lt;=0,0,F329)</f>
        <v/>
      </c>
      <c r="C330" s="15">
        <f>IF(B330&lt;=0,0,MIN(Assumptions!$B$14,B330+D330))</f>
        <v/>
      </c>
      <c r="D330" s="15">
        <f>IF(B330&lt;=0,0,B330*Assumptions!$B$6/12)</f>
        <v/>
      </c>
      <c r="E330" s="15">
        <f>IF(B330&lt;=0,0,C330-D330)</f>
        <v/>
      </c>
      <c r="F330" s="15">
        <f>IF(B330&lt;=0,0,B330-E330)</f>
        <v/>
      </c>
      <c r="G330" s="15">
        <f>IF(B330&lt;=0,G329,G329+D330)</f>
        <v/>
      </c>
    </row>
    <row r="331">
      <c r="A331" t="n">
        <v>328</v>
      </c>
      <c r="B331" s="15">
        <f>IF(F330&lt;=0,0,F330)</f>
        <v/>
      </c>
      <c r="C331" s="15">
        <f>IF(B331&lt;=0,0,MIN(Assumptions!$B$14,B331+D331))</f>
        <v/>
      </c>
      <c r="D331" s="15">
        <f>IF(B331&lt;=0,0,B331*Assumptions!$B$6/12)</f>
        <v/>
      </c>
      <c r="E331" s="15">
        <f>IF(B331&lt;=0,0,C331-D331)</f>
        <v/>
      </c>
      <c r="F331" s="15">
        <f>IF(B331&lt;=0,0,B331-E331)</f>
        <v/>
      </c>
      <c r="G331" s="15">
        <f>IF(B331&lt;=0,G330,G330+D331)</f>
        <v/>
      </c>
    </row>
    <row r="332">
      <c r="A332" t="n">
        <v>329</v>
      </c>
      <c r="B332" s="15">
        <f>IF(F331&lt;=0,0,F331)</f>
        <v/>
      </c>
      <c r="C332" s="15">
        <f>IF(B332&lt;=0,0,MIN(Assumptions!$B$14,B332+D332))</f>
        <v/>
      </c>
      <c r="D332" s="15">
        <f>IF(B332&lt;=0,0,B332*Assumptions!$B$6/12)</f>
        <v/>
      </c>
      <c r="E332" s="15">
        <f>IF(B332&lt;=0,0,C332-D332)</f>
        <v/>
      </c>
      <c r="F332" s="15">
        <f>IF(B332&lt;=0,0,B332-E332)</f>
        <v/>
      </c>
      <c r="G332" s="15">
        <f>IF(B332&lt;=0,G331,G331+D332)</f>
        <v/>
      </c>
    </row>
    <row r="333">
      <c r="A333" t="n">
        <v>330</v>
      </c>
      <c r="B333" s="15">
        <f>IF(F332&lt;=0,0,F332)</f>
        <v/>
      </c>
      <c r="C333" s="15">
        <f>IF(B333&lt;=0,0,MIN(Assumptions!$B$14,B333+D333))</f>
        <v/>
      </c>
      <c r="D333" s="15">
        <f>IF(B333&lt;=0,0,B333*Assumptions!$B$6/12)</f>
        <v/>
      </c>
      <c r="E333" s="15">
        <f>IF(B333&lt;=0,0,C333-D333)</f>
        <v/>
      </c>
      <c r="F333" s="15">
        <f>IF(B333&lt;=0,0,B333-E333)</f>
        <v/>
      </c>
      <c r="G333" s="15">
        <f>IF(B333&lt;=0,G332,G332+D333)</f>
        <v/>
      </c>
    </row>
    <row r="334">
      <c r="A334" t="n">
        <v>331</v>
      </c>
      <c r="B334" s="15">
        <f>IF(F333&lt;=0,0,F333)</f>
        <v/>
      </c>
      <c r="C334" s="15">
        <f>IF(B334&lt;=0,0,MIN(Assumptions!$B$14,B334+D334))</f>
        <v/>
      </c>
      <c r="D334" s="15">
        <f>IF(B334&lt;=0,0,B334*Assumptions!$B$6/12)</f>
        <v/>
      </c>
      <c r="E334" s="15">
        <f>IF(B334&lt;=0,0,C334-D334)</f>
        <v/>
      </c>
      <c r="F334" s="15">
        <f>IF(B334&lt;=0,0,B334-E334)</f>
        <v/>
      </c>
      <c r="G334" s="15">
        <f>IF(B334&lt;=0,G333,G333+D334)</f>
        <v/>
      </c>
    </row>
    <row r="335">
      <c r="A335" t="n">
        <v>332</v>
      </c>
      <c r="B335" s="15">
        <f>IF(F334&lt;=0,0,F334)</f>
        <v/>
      </c>
      <c r="C335" s="15">
        <f>IF(B335&lt;=0,0,MIN(Assumptions!$B$14,B335+D335))</f>
        <v/>
      </c>
      <c r="D335" s="15">
        <f>IF(B335&lt;=0,0,B335*Assumptions!$B$6/12)</f>
        <v/>
      </c>
      <c r="E335" s="15">
        <f>IF(B335&lt;=0,0,C335-D335)</f>
        <v/>
      </c>
      <c r="F335" s="15">
        <f>IF(B335&lt;=0,0,B335-E335)</f>
        <v/>
      </c>
      <c r="G335" s="15">
        <f>IF(B335&lt;=0,G334,G334+D335)</f>
        <v/>
      </c>
    </row>
    <row r="336">
      <c r="A336" t="n">
        <v>333</v>
      </c>
      <c r="B336" s="15">
        <f>IF(F335&lt;=0,0,F335)</f>
        <v/>
      </c>
      <c r="C336" s="15">
        <f>IF(B336&lt;=0,0,MIN(Assumptions!$B$14,B336+D336))</f>
        <v/>
      </c>
      <c r="D336" s="15">
        <f>IF(B336&lt;=0,0,B336*Assumptions!$B$6/12)</f>
        <v/>
      </c>
      <c r="E336" s="15">
        <f>IF(B336&lt;=0,0,C336-D336)</f>
        <v/>
      </c>
      <c r="F336" s="15">
        <f>IF(B336&lt;=0,0,B336-E336)</f>
        <v/>
      </c>
      <c r="G336" s="15">
        <f>IF(B336&lt;=0,G335,G335+D336)</f>
        <v/>
      </c>
    </row>
    <row r="337">
      <c r="A337" t="n">
        <v>334</v>
      </c>
      <c r="B337" s="15">
        <f>IF(F336&lt;=0,0,F336)</f>
        <v/>
      </c>
      <c r="C337" s="15">
        <f>IF(B337&lt;=0,0,MIN(Assumptions!$B$14,B337+D337))</f>
        <v/>
      </c>
      <c r="D337" s="15">
        <f>IF(B337&lt;=0,0,B337*Assumptions!$B$6/12)</f>
        <v/>
      </c>
      <c r="E337" s="15">
        <f>IF(B337&lt;=0,0,C337-D337)</f>
        <v/>
      </c>
      <c r="F337" s="15">
        <f>IF(B337&lt;=0,0,B337-E337)</f>
        <v/>
      </c>
      <c r="G337" s="15">
        <f>IF(B337&lt;=0,G336,G336+D337)</f>
        <v/>
      </c>
    </row>
    <row r="338">
      <c r="A338" t="n">
        <v>335</v>
      </c>
      <c r="B338" s="15">
        <f>IF(F337&lt;=0,0,F337)</f>
        <v/>
      </c>
      <c r="C338" s="15">
        <f>IF(B338&lt;=0,0,MIN(Assumptions!$B$14,B338+D338))</f>
        <v/>
      </c>
      <c r="D338" s="15">
        <f>IF(B338&lt;=0,0,B338*Assumptions!$B$6/12)</f>
        <v/>
      </c>
      <c r="E338" s="15">
        <f>IF(B338&lt;=0,0,C338-D338)</f>
        <v/>
      </c>
      <c r="F338" s="15">
        <f>IF(B338&lt;=0,0,B338-E338)</f>
        <v/>
      </c>
      <c r="G338" s="15">
        <f>IF(B338&lt;=0,G337,G337+D338)</f>
        <v/>
      </c>
    </row>
    <row r="339">
      <c r="A339" t="n">
        <v>336</v>
      </c>
      <c r="B339" s="15">
        <f>IF(F338&lt;=0,0,F338)</f>
        <v/>
      </c>
      <c r="C339" s="15">
        <f>IF(B339&lt;=0,0,MIN(Assumptions!$B$14,B339+D339))</f>
        <v/>
      </c>
      <c r="D339" s="15">
        <f>IF(B339&lt;=0,0,B339*Assumptions!$B$6/12)</f>
        <v/>
      </c>
      <c r="E339" s="15">
        <f>IF(B339&lt;=0,0,C339-D339)</f>
        <v/>
      </c>
      <c r="F339" s="15">
        <f>IF(B339&lt;=0,0,B339-E339)</f>
        <v/>
      </c>
      <c r="G339" s="15">
        <f>IF(B339&lt;=0,G338,G338+D339)</f>
        <v/>
      </c>
    </row>
    <row r="340">
      <c r="A340" t="n">
        <v>337</v>
      </c>
      <c r="B340" s="15">
        <f>IF(F339&lt;=0,0,F339)</f>
        <v/>
      </c>
      <c r="C340" s="15">
        <f>IF(B340&lt;=0,0,MIN(Assumptions!$B$14,B340+D340))</f>
        <v/>
      </c>
      <c r="D340" s="15">
        <f>IF(B340&lt;=0,0,B340*Assumptions!$B$6/12)</f>
        <v/>
      </c>
      <c r="E340" s="15">
        <f>IF(B340&lt;=0,0,C340-D340)</f>
        <v/>
      </c>
      <c r="F340" s="15">
        <f>IF(B340&lt;=0,0,B340-E340)</f>
        <v/>
      </c>
      <c r="G340" s="15">
        <f>IF(B340&lt;=0,G339,G339+D340)</f>
        <v/>
      </c>
    </row>
    <row r="341">
      <c r="A341" t="n">
        <v>338</v>
      </c>
      <c r="B341" s="15">
        <f>IF(F340&lt;=0,0,F340)</f>
        <v/>
      </c>
      <c r="C341" s="15">
        <f>IF(B341&lt;=0,0,MIN(Assumptions!$B$14,B341+D341))</f>
        <v/>
      </c>
      <c r="D341" s="15">
        <f>IF(B341&lt;=0,0,B341*Assumptions!$B$6/12)</f>
        <v/>
      </c>
      <c r="E341" s="15">
        <f>IF(B341&lt;=0,0,C341-D341)</f>
        <v/>
      </c>
      <c r="F341" s="15">
        <f>IF(B341&lt;=0,0,B341-E341)</f>
        <v/>
      </c>
      <c r="G341" s="15">
        <f>IF(B341&lt;=0,G340,G340+D341)</f>
        <v/>
      </c>
    </row>
    <row r="342">
      <c r="A342" t="n">
        <v>339</v>
      </c>
      <c r="B342" s="15">
        <f>IF(F341&lt;=0,0,F341)</f>
        <v/>
      </c>
      <c r="C342" s="15">
        <f>IF(B342&lt;=0,0,MIN(Assumptions!$B$14,B342+D342))</f>
        <v/>
      </c>
      <c r="D342" s="15">
        <f>IF(B342&lt;=0,0,B342*Assumptions!$B$6/12)</f>
        <v/>
      </c>
      <c r="E342" s="15">
        <f>IF(B342&lt;=0,0,C342-D342)</f>
        <v/>
      </c>
      <c r="F342" s="15">
        <f>IF(B342&lt;=0,0,B342-E342)</f>
        <v/>
      </c>
      <c r="G342" s="15">
        <f>IF(B342&lt;=0,G341,G341+D342)</f>
        <v/>
      </c>
    </row>
    <row r="343">
      <c r="A343" t="n">
        <v>340</v>
      </c>
      <c r="B343" s="15">
        <f>IF(F342&lt;=0,0,F342)</f>
        <v/>
      </c>
      <c r="C343" s="15">
        <f>IF(B343&lt;=0,0,MIN(Assumptions!$B$14,B343+D343))</f>
        <v/>
      </c>
      <c r="D343" s="15">
        <f>IF(B343&lt;=0,0,B343*Assumptions!$B$6/12)</f>
        <v/>
      </c>
      <c r="E343" s="15">
        <f>IF(B343&lt;=0,0,C343-D343)</f>
        <v/>
      </c>
      <c r="F343" s="15">
        <f>IF(B343&lt;=0,0,B343-E343)</f>
        <v/>
      </c>
      <c r="G343" s="15">
        <f>IF(B343&lt;=0,G342,G342+D343)</f>
        <v/>
      </c>
    </row>
    <row r="344">
      <c r="A344" t="n">
        <v>341</v>
      </c>
      <c r="B344" s="15">
        <f>IF(F343&lt;=0,0,F343)</f>
        <v/>
      </c>
      <c r="C344" s="15">
        <f>IF(B344&lt;=0,0,MIN(Assumptions!$B$14,B344+D344))</f>
        <v/>
      </c>
      <c r="D344" s="15">
        <f>IF(B344&lt;=0,0,B344*Assumptions!$B$6/12)</f>
        <v/>
      </c>
      <c r="E344" s="15">
        <f>IF(B344&lt;=0,0,C344-D344)</f>
        <v/>
      </c>
      <c r="F344" s="15">
        <f>IF(B344&lt;=0,0,B344-E344)</f>
        <v/>
      </c>
      <c r="G344" s="15">
        <f>IF(B344&lt;=0,G343,G343+D344)</f>
        <v/>
      </c>
    </row>
    <row r="345">
      <c r="A345" t="n">
        <v>342</v>
      </c>
      <c r="B345" s="15">
        <f>IF(F344&lt;=0,0,F344)</f>
        <v/>
      </c>
      <c r="C345" s="15">
        <f>IF(B345&lt;=0,0,MIN(Assumptions!$B$14,B345+D345))</f>
        <v/>
      </c>
      <c r="D345" s="15">
        <f>IF(B345&lt;=0,0,B345*Assumptions!$B$6/12)</f>
        <v/>
      </c>
      <c r="E345" s="15">
        <f>IF(B345&lt;=0,0,C345-D345)</f>
        <v/>
      </c>
      <c r="F345" s="15">
        <f>IF(B345&lt;=0,0,B345-E345)</f>
        <v/>
      </c>
      <c r="G345" s="15">
        <f>IF(B345&lt;=0,G344,G344+D345)</f>
        <v/>
      </c>
    </row>
    <row r="346">
      <c r="A346" t="n">
        <v>343</v>
      </c>
      <c r="B346" s="15">
        <f>IF(F345&lt;=0,0,F345)</f>
        <v/>
      </c>
      <c r="C346" s="15">
        <f>IF(B346&lt;=0,0,MIN(Assumptions!$B$14,B346+D346))</f>
        <v/>
      </c>
      <c r="D346" s="15">
        <f>IF(B346&lt;=0,0,B346*Assumptions!$B$6/12)</f>
        <v/>
      </c>
      <c r="E346" s="15">
        <f>IF(B346&lt;=0,0,C346-D346)</f>
        <v/>
      </c>
      <c r="F346" s="15">
        <f>IF(B346&lt;=0,0,B346-E346)</f>
        <v/>
      </c>
      <c r="G346" s="15">
        <f>IF(B346&lt;=0,G345,G345+D346)</f>
        <v/>
      </c>
    </row>
    <row r="347">
      <c r="A347" t="n">
        <v>344</v>
      </c>
      <c r="B347" s="15">
        <f>IF(F346&lt;=0,0,F346)</f>
        <v/>
      </c>
      <c r="C347" s="15">
        <f>IF(B347&lt;=0,0,MIN(Assumptions!$B$14,B347+D347))</f>
        <v/>
      </c>
      <c r="D347" s="15">
        <f>IF(B347&lt;=0,0,B347*Assumptions!$B$6/12)</f>
        <v/>
      </c>
      <c r="E347" s="15">
        <f>IF(B347&lt;=0,0,C347-D347)</f>
        <v/>
      </c>
      <c r="F347" s="15">
        <f>IF(B347&lt;=0,0,B347-E347)</f>
        <v/>
      </c>
      <c r="G347" s="15">
        <f>IF(B347&lt;=0,G346,G346+D347)</f>
        <v/>
      </c>
    </row>
    <row r="348">
      <c r="A348" t="n">
        <v>345</v>
      </c>
      <c r="B348" s="15">
        <f>IF(F347&lt;=0,0,F347)</f>
        <v/>
      </c>
      <c r="C348" s="15">
        <f>IF(B348&lt;=0,0,MIN(Assumptions!$B$14,B348+D348))</f>
        <v/>
      </c>
      <c r="D348" s="15">
        <f>IF(B348&lt;=0,0,B348*Assumptions!$B$6/12)</f>
        <v/>
      </c>
      <c r="E348" s="15">
        <f>IF(B348&lt;=0,0,C348-D348)</f>
        <v/>
      </c>
      <c r="F348" s="15">
        <f>IF(B348&lt;=0,0,B348-E348)</f>
        <v/>
      </c>
      <c r="G348" s="15">
        <f>IF(B348&lt;=0,G347,G347+D348)</f>
        <v/>
      </c>
    </row>
    <row r="349">
      <c r="A349" t="n">
        <v>346</v>
      </c>
      <c r="B349" s="15">
        <f>IF(F348&lt;=0,0,F348)</f>
        <v/>
      </c>
      <c r="C349" s="15">
        <f>IF(B349&lt;=0,0,MIN(Assumptions!$B$14,B349+D349))</f>
        <v/>
      </c>
      <c r="D349" s="15">
        <f>IF(B349&lt;=0,0,B349*Assumptions!$B$6/12)</f>
        <v/>
      </c>
      <c r="E349" s="15">
        <f>IF(B349&lt;=0,0,C349-D349)</f>
        <v/>
      </c>
      <c r="F349" s="15">
        <f>IF(B349&lt;=0,0,B349-E349)</f>
        <v/>
      </c>
      <c r="G349" s="15">
        <f>IF(B349&lt;=0,G348,G348+D349)</f>
        <v/>
      </c>
    </row>
    <row r="350">
      <c r="A350" t="n">
        <v>347</v>
      </c>
      <c r="B350" s="15">
        <f>IF(F349&lt;=0,0,F349)</f>
        <v/>
      </c>
      <c r="C350" s="15">
        <f>IF(B350&lt;=0,0,MIN(Assumptions!$B$14,B350+D350))</f>
        <v/>
      </c>
      <c r="D350" s="15">
        <f>IF(B350&lt;=0,0,B350*Assumptions!$B$6/12)</f>
        <v/>
      </c>
      <c r="E350" s="15">
        <f>IF(B350&lt;=0,0,C350-D350)</f>
        <v/>
      </c>
      <c r="F350" s="15">
        <f>IF(B350&lt;=0,0,B350-E350)</f>
        <v/>
      </c>
      <c r="G350" s="15">
        <f>IF(B350&lt;=0,G349,G349+D350)</f>
        <v/>
      </c>
    </row>
    <row r="351">
      <c r="A351" t="n">
        <v>348</v>
      </c>
      <c r="B351" s="15">
        <f>IF(F350&lt;=0,0,F350)</f>
        <v/>
      </c>
      <c r="C351" s="15">
        <f>IF(B351&lt;=0,0,MIN(Assumptions!$B$14,B351+D351))</f>
        <v/>
      </c>
      <c r="D351" s="15">
        <f>IF(B351&lt;=0,0,B351*Assumptions!$B$6/12)</f>
        <v/>
      </c>
      <c r="E351" s="15">
        <f>IF(B351&lt;=0,0,C351-D351)</f>
        <v/>
      </c>
      <c r="F351" s="15">
        <f>IF(B351&lt;=0,0,B351-E351)</f>
        <v/>
      </c>
      <c r="G351" s="15">
        <f>IF(B351&lt;=0,G350,G350+D351)</f>
        <v/>
      </c>
    </row>
    <row r="352">
      <c r="A352" t="n">
        <v>349</v>
      </c>
      <c r="B352" s="15">
        <f>IF(F351&lt;=0,0,F351)</f>
        <v/>
      </c>
      <c r="C352" s="15">
        <f>IF(B352&lt;=0,0,MIN(Assumptions!$B$14,B352+D352))</f>
        <v/>
      </c>
      <c r="D352" s="15">
        <f>IF(B352&lt;=0,0,B352*Assumptions!$B$6/12)</f>
        <v/>
      </c>
      <c r="E352" s="15">
        <f>IF(B352&lt;=0,0,C352-D352)</f>
        <v/>
      </c>
      <c r="F352" s="15">
        <f>IF(B352&lt;=0,0,B352-E352)</f>
        <v/>
      </c>
      <c r="G352" s="15">
        <f>IF(B352&lt;=0,G351,G351+D352)</f>
        <v/>
      </c>
    </row>
    <row r="353">
      <c r="A353" t="n">
        <v>350</v>
      </c>
      <c r="B353" s="15">
        <f>IF(F352&lt;=0,0,F352)</f>
        <v/>
      </c>
      <c r="C353" s="15">
        <f>IF(B353&lt;=0,0,MIN(Assumptions!$B$14,B353+D353))</f>
        <v/>
      </c>
      <c r="D353" s="15">
        <f>IF(B353&lt;=0,0,B353*Assumptions!$B$6/12)</f>
        <v/>
      </c>
      <c r="E353" s="15">
        <f>IF(B353&lt;=0,0,C353-D353)</f>
        <v/>
      </c>
      <c r="F353" s="15">
        <f>IF(B353&lt;=0,0,B353-E353)</f>
        <v/>
      </c>
      <c r="G353" s="15">
        <f>IF(B353&lt;=0,G352,G352+D353)</f>
        <v/>
      </c>
    </row>
    <row r="354">
      <c r="A354" t="n">
        <v>351</v>
      </c>
      <c r="B354" s="15">
        <f>IF(F353&lt;=0,0,F353)</f>
        <v/>
      </c>
      <c r="C354" s="15">
        <f>IF(B354&lt;=0,0,MIN(Assumptions!$B$14,B354+D354))</f>
        <v/>
      </c>
      <c r="D354" s="15">
        <f>IF(B354&lt;=0,0,B354*Assumptions!$B$6/12)</f>
        <v/>
      </c>
      <c r="E354" s="15">
        <f>IF(B354&lt;=0,0,C354-D354)</f>
        <v/>
      </c>
      <c r="F354" s="15">
        <f>IF(B354&lt;=0,0,B354-E354)</f>
        <v/>
      </c>
      <c r="G354" s="15">
        <f>IF(B354&lt;=0,G353,G353+D354)</f>
        <v/>
      </c>
    </row>
    <row r="355">
      <c r="A355" t="n">
        <v>352</v>
      </c>
      <c r="B355" s="15">
        <f>IF(F354&lt;=0,0,F354)</f>
        <v/>
      </c>
      <c r="C355" s="15">
        <f>IF(B355&lt;=0,0,MIN(Assumptions!$B$14,B355+D355))</f>
        <v/>
      </c>
      <c r="D355" s="15">
        <f>IF(B355&lt;=0,0,B355*Assumptions!$B$6/12)</f>
        <v/>
      </c>
      <c r="E355" s="15">
        <f>IF(B355&lt;=0,0,C355-D355)</f>
        <v/>
      </c>
      <c r="F355" s="15">
        <f>IF(B355&lt;=0,0,B355-E355)</f>
        <v/>
      </c>
      <c r="G355" s="15">
        <f>IF(B355&lt;=0,G354,G354+D355)</f>
        <v/>
      </c>
    </row>
    <row r="356">
      <c r="A356" t="n">
        <v>353</v>
      </c>
      <c r="B356" s="15">
        <f>IF(F355&lt;=0,0,F355)</f>
        <v/>
      </c>
      <c r="C356" s="15">
        <f>IF(B356&lt;=0,0,MIN(Assumptions!$B$14,B356+D356))</f>
        <v/>
      </c>
      <c r="D356" s="15">
        <f>IF(B356&lt;=0,0,B356*Assumptions!$B$6/12)</f>
        <v/>
      </c>
      <c r="E356" s="15">
        <f>IF(B356&lt;=0,0,C356-D356)</f>
        <v/>
      </c>
      <c r="F356" s="15">
        <f>IF(B356&lt;=0,0,B356-E356)</f>
        <v/>
      </c>
      <c r="G356" s="15">
        <f>IF(B356&lt;=0,G355,G355+D356)</f>
        <v/>
      </c>
    </row>
    <row r="357">
      <c r="A357" t="n">
        <v>354</v>
      </c>
      <c r="B357" s="15">
        <f>IF(F356&lt;=0,0,F356)</f>
        <v/>
      </c>
      <c r="C357" s="15">
        <f>IF(B357&lt;=0,0,MIN(Assumptions!$B$14,B357+D357))</f>
        <v/>
      </c>
      <c r="D357" s="15">
        <f>IF(B357&lt;=0,0,B357*Assumptions!$B$6/12)</f>
        <v/>
      </c>
      <c r="E357" s="15">
        <f>IF(B357&lt;=0,0,C357-D357)</f>
        <v/>
      </c>
      <c r="F357" s="15">
        <f>IF(B357&lt;=0,0,B357-E357)</f>
        <v/>
      </c>
      <c r="G357" s="15">
        <f>IF(B357&lt;=0,G356,G356+D357)</f>
        <v/>
      </c>
    </row>
    <row r="358">
      <c r="A358" t="n">
        <v>355</v>
      </c>
      <c r="B358" s="15">
        <f>IF(F357&lt;=0,0,F357)</f>
        <v/>
      </c>
      <c r="C358" s="15">
        <f>IF(B358&lt;=0,0,MIN(Assumptions!$B$14,B358+D358))</f>
        <v/>
      </c>
      <c r="D358" s="15">
        <f>IF(B358&lt;=0,0,B358*Assumptions!$B$6/12)</f>
        <v/>
      </c>
      <c r="E358" s="15">
        <f>IF(B358&lt;=0,0,C358-D358)</f>
        <v/>
      </c>
      <c r="F358" s="15">
        <f>IF(B358&lt;=0,0,B358-E358)</f>
        <v/>
      </c>
      <c r="G358" s="15">
        <f>IF(B358&lt;=0,G357,G357+D358)</f>
        <v/>
      </c>
    </row>
    <row r="359">
      <c r="A359" t="n">
        <v>356</v>
      </c>
      <c r="B359" s="15">
        <f>IF(F358&lt;=0,0,F358)</f>
        <v/>
      </c>
      <c r="C359" s="15">
        <f>IF(B359&lt;=0,0,MIN(Assumptions!$B$14,B359+D359))</f>
        <v/>
      </c>
      <c r="D359" s="15">
        <f>IF(B359&lt;=0,0,B359*Assumptions!$B$6/12)</f>
        <v/>
      </c>
      <c r="E359" s="15">
        <f>IF(B359&lt;=0,0,C359-D359)</f>
        <v/>
      </c>
      <c r="F359" s="15">
        <f>IF(B359&lt;=0,0,B359-E359)</f>
        <v/>
      </c>
      <c r="G359" s="15">
        <f>IF(B359&lt;=0,G358,G358+D359)</f>
        <v/>
      </c>
    </row>
    <row r="360">
      <c r="A360" t="n">
        <v>357</v>
      </c>
      <c r="B360" s="15">
        <f>IF(F359&lt;=0,0,F359)</f>
        <v/>
      </c>
      <c r="C360" s="15">
        <f>IF(B360&lt;=0,0,MIN(Assumptions!$B$14,B360+D360))</f>
        <v/>
      </c>
      <c r="D360" s="15">
        <f>IF(B360&lt;=0,0,B360*Assumptions!$B$6/12)</f>
        <v/>
      </c>
      <c r="E360" s="15">
        <f>IF(B360&lt;=0,0,C360-D360)</f>
        <v/>
      </c>
      <c r="F360" s="15">
        <f>IF(B360&lt;=0,0,B360-E360)</f>
        <v/>
      </c>
      <c r="G360" s="15">
        <f>IF(B360&lt;=0,G359,G359+D360)</f>
        <v/>
      </c>
    </row>
    <row r="361">
      <c r="A361" t="n">
        <v>358</v>
      </c>
      <c r="B361" s="15">
        <f>IF(F360&lt;=0,0,F360)</f>
        <v/>
      </c>
      <c r="C361" s="15">
        <f>IF(B361&lt;=0,0,MIN(Assumptions!$B$14,B361+D361))</f>
        <v/>
      </c>
      <c r="D361" s="15">
        <f>IF(B361&lt;=0,0,B361*Assumptions!$B$6/12)</f>
        <v/>
      </c>
      <c r="E361" s="15">
        <f>IF(B361&lt;=0,0,C361-D361)</f>
        <v/>
      </c>
      <c r="F361" s="15">
        <f>IF(B361&lt;=0,0,B361-E361)</f>
        <v/>
      </c>
      <c r="G361" s="15">
        <f>IF(B361&lt;=0,G360,G360+D361)</f>
        <v/>
      </c>
    </row>
    <row r="362">
      <c r="A362" t="n">
        <v>359</v>
      </c>
      <c r="B362" s="15">
        <f>IF(F361&lt;=0,0,F361)</f>
        <v/>
      </c>
      <c r="C362" s="15">
        <f>IF(B362&lt;=0,0,MIN(Assumptions!$B$14,B362+D362))</f>
        <v/>
      </c>
      <c r="D362" s="15">
        <f>IF(B362&lt;=0,0,B362*Assumptions!$B$6/12)</f>
        <v/>
      </c>
      <c r="E362" s="15">
        <f>IF(B362&lt;=0,0,C362-D362)</f>
        <v/>
      </c>
      <c r="F362" s="15">
        <f>IF(B362&lt;=0,0,B362-E362)</f>
        <v/>
      </c>
      <c r="G362" s="15">
        <f>IF(B362&lt;=0,G361,G361+D362)</f>
        <v/>
      </c>
    </row>
    <row r="363">
      <c r="A363" t="n">
        <v>360</v>
      </c>
      <c r="B363" s="15">
        <f>IF(F362&lt;=0,0,F362)</f>
        <v/>
      </c>
      <c r="C363" s="15">
        <f>IF(B363&lt;=0,0,MIN(Assumptions!$B$14,B363+D363))</f>
        <v/>
      </c>
      <c r="D363" s="15">
        <f>IF(B363&lt;=0,0,B363*Assumptions!$B$6/12)</f>
        <v/>
      </c>
      <c r="E363" s="15">
        <f>IF(B363&lt;=0,0,C363-D363)</f>
        <v/>
      </c>
      <c r="F363" s="15">
        <f>IF(B363&lt;=0,0,B363-E363)</f>
        <v/>
      </c>
      <c r="G363" s="15">
        <f>IF(B363&lt;=0,G362,G362+D363)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16" customWidth="1" min="4" max="4"/>
  </cols>
  <sheetData>
    <row r="1">
      <c r="A1" s="14" t="inlineStr">
        <is>
          <t>Payment and total interest across rates</t>
        </is>
      </c>
    </row>
    <row r="2">
      <c r="A2" s="2" t="inlineStr">
        <is>
          <t>Recomputed independently of the schedules, so it stays live too.</t>
        </is>
      </c>
    </row>
    <row r="4">
      <c r="A4" s="3" t="inlineStr">
        <is>
          <t>Rate</t>
        </is>
      </c>
      <c r="B4" s="3" t="inlineStr">
        <is>
          <t>Monthly payment</t>
        </is>
      </c>
      <c r="C4" s="3" t="inlineStr">
        <is>
          <t>Total interest</t>
        </is>
      </c>
      <c r="D4" s="3" t="inlineStr">
        <is>
          <t>vs. base rate</t>
        </is>
      </c>
    </row>
    <row r="5">
      <c r="A5" s="16" t="n">
        <v>0.045</v>
      </c>
      <c r="B5" s="17">
        <f>-PMT(A5/12,Assumptions!$B$7*12,Assumptions!$B$5)</f>
        <v/>
      </c>
      <c r="C5" s="17">
        <f>B5*Assumptions!$B$7*12-Assumptions!$B$5</f>
        <v/>
      </c>
      <c r="D5" s="17">
        <f>C5-(-PMT(Assumptions!$B$6/12,Assumptions!$B$7*12,Assumptions!$B$5)*Assumptions!$B$7*12-Assumptions!$B$5)</f>
        <v/>
      </c>
    </row>
    <row r="6">
      <c r="A6" s="16" t="n">
        <v>0.05</v>
      </c>
      <c r="B6" s="17">
        <f>-PMT(A6/12,Assumptions!$B$7*12,Assumptions!$B$5)</f>
        <v/>
      </c>
      <c r="C6" s="17">
        <f>B6*Assumptions!$B$7*12-Assumptions!$B$5</f>
        <v/>
      </c>
      <c r="D6" s="17">
        <f>C6-(-PMT(Assumptions!$B$6/12,Assumptions!$B$7*12,Assumptions!$B$5)*Assumptions!$B$7*12-Assumptions!$B$5)</f>
        <v/>
      </c>
    </row>
    <row r="7">
      <c r="A7" s="16" t="n">
        <v>0.055</v>
      </c>
      <c r="B7" s="17">
        <f>-PMT(A7/12,Assumptions!$B$7*12,Assumptions!$B$5)</f>
        <v/>
      </c>
      <c r="C7" s="17">
        <f>B7*Assumptions!$B$7*12-Assumptions!$B$5</f>
        <v/>
      </c>
      <c r="D7" s="17">
        <f>C7-(-PMT(Assumptions!$B$6/12,Assumptions!$B$7*12,Assumptions!$B$5)*Assumptions!$B$7*12-Assumptions!$B$5)</f>
        <v/>
      </c>
    </row>
    <row r="8">
      <c r="A8" s="16" t="n">
        <v>0.06</v>
      </c>
      <c r="B8" s="17">
        <f>-PMT(A8/12,Assumptions!$B$7*12,Assumptions!$B$5)</f>
        <v/>
      </c>
      <c r="C8" s="17">
        <f>B8*Assumptions!$B$7*12-Assumptions!$B$5</f>
        <v/>
      </c>
      <c r="D8" s="17">
        <f>C8-(-PMT(Assumptions!$B$6/12,Assumptions!$B$7*12,Assumptions!$B$5)*Assumptions!$B$7*12-Assumptions!$B$5)</f>
        <v/>
      </c>
    </row>
    <row r="9">
      <c r="A9" s="16" t="n">
        <v>0.065</v>
      </c>
      <c r="B9" s="17">
        <f>-PMT(A9/12,Assumptions!$B$7*12,Assumptions!$B$5)</f>
        <v/>
      </c>
      <c r="C9" s="17">
        <f>B9*Assumptions!$B$7*12-Assumptions!$B$5</f>
        <v/>
      </c>
      <c r="D9" s="17">
        <f>C9-(-PMT(Assumptions!$B$6/12,Assumptions!$B$7*12,Assumptions!$B$5)*Assumptions!$B$7*12-Assumptions!$B$5)</f>
        <v/>
      </c>
    </row>
    <row r="10">
      <c r="A10" s="16" t="n">
        <v>0.07000000000000001</v>
      </c>
      <c r="B10" s="17">
        <f>-PMT(A10/12,Assumptions!$B$7*12,Assumptions!$B$5)</f>
        <v/>
      </c>
      <c r="C10" s="17">
        <f>B10*Assumptions!$B$7*12-Assumptions!$B$5</f>
        <v/>
      </c>
      <c r="D10" s="17">
        <f>C10-(-PMT(Assumptions!$B$6/12,Assumptions!$B$7*12,Assumptions!$B$5)*Assumptions!$B$7*12-Assumptions!$B$5)</f>
        <v/>
      </c>
    </row>
    <row r="11">
      <c r="A11" s="16" t="n">
        <v>0.075</v>
      </c>
      <c r="B11" s="17">
        <f>-PMT(A11/12,Assumptions!$B$7*12,Assumptions!$B$5)</f>
        <v/>
      </c>
      <c r="C11" s="17">
        <f>B11*Assumptions!$B$7*12-Assumptions!$B$5</f>
        <v/>
      </c>
      <c r="D11" s="17">
        <f>C11-(-PMT(Assumptions!$B$6/12,Assumptions!$B$7*12,Assumptions!$B$5)*Assumptions!$B$7*12-Assumptions!$B$5)</f>
        <v/>
      </c>
    </row>
    <row r="12">
      <c r="A12" s="16" t="n">
        <v>0.08</v>
      </c>
      <c r="B12" s="17">
        <f>-PMT(A12/12,Assumptions!$B$7*12,Assumptions!$B$5)</f>
        <v/>
      </c>
      <c r="C12" s="17">
        <f>B12*Assumptions!$B$7*12-Assumptions!$B$5</f>
        <v/>
      </c>
      <c r="D12" s="17">
        <f>C12-(-PMT(Assumptions!$B$6/12,Assumptions!$B$7*12,Assumptions!$B$5)*Assumptions!$B$7*12-Assumptions!$B$5)</f>
        <v/>
      </c>
    </row>
    <row r="13">
      <c r="A13" s="16" t="n">
        <v>0.08500000000000001</v>
      </c>
      <c r="B13" s="17">
        <f>-PMT(A13/12,Assumptions!$B$7*12,Assumptions!$B$5)</f>
        <v/>
      </c>
      <c r="C13" s="17">
        <f>B13*Assumptions!$B$7*12-Assumptions!$B$5</f>
        <v/>
      </c>
      <c r="D13" s="17">
        <f>C13-(-PMT(Assumptions!$B$6/12,Assumptions!$B$7*12,Assumptions!$B$5)*Assumptions!$B$7*12-Assumptions!$B$5)</f>
        <v/>
      </c>
    </row>
    <row r="14">
      <c r="A14" s="16" t="n">
        <v>0.09</v>
      </c>
      <c r="B14" s="17">
        <f>-PMT(A14/12,Assumptions!$B$7*12,Assumptions!$B$5)</f>
        <v/>
      </c>
      <c r="C14" s="17">
        <f>B14*Assumptions!$B$7*12-Assumptions!$B$5</f>
        <v/>
      </c>
      <c r="D14" s="17">
        <f>C14-(-PMT(Assumptions!$B$6/12,Assumptions!$B$7*12,Assumptions!$B$5)*Assumptions!$B$7*12-Assumptions!$B$5)</f>
        <v/>
      </c>
    </row>
    <row r="15">
      <c r="A15" s="16" t="n">
        <v>0.095</v>
      </c>
      <c r="B15" s="17">
        <f>-PMT(A15/12,Assumptions!$B$7*12,Assumptions!$B$5)</f>
        <v/>
      </c>
      <c r="C15" s="17">
        <f>B15*Assumptions!$B$7*12-Assumptions!$B$5</f>
        <v/>
      </c>
      <c r="D15" s="17">
        <f>C15-(-PMT(Assumptions!$B$6/12,Assumptions!$B$7*12,Assumptions!$B$5)*Assumptions!$B$7*12-Assumptions!$B$5)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2026-09-10T23:50:10Z</dcterms:created>
  <dcterms:modified xsi:type="dcterms:W3CDTF">2026-09-10T23:50:10Z</dcterms:modified>
</cp:coreProperties>
</file>